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UG_SEP24" sheetId="1" r:id="rId5"/>
    <sheet state="hidden" name="SEP-OCT-24" sheetId="2" r:id="rId6"/>
    <sheet state="hidden" name="Revised-OCT-NOV-24" sheetId="3" r:id="rId7"/>
    <sheet state="hidden" name="NOV-DEC-24" sheetId="4" r:id="rId8"/>
    <sheet state="hidden" name="DEC_JAN-2425" sheetId="5" r:id="rId9"/>
    <sheet state="hidden" name="JAN-FEB-25" sheetId="6" r:id="rId10"/>
    <sheet state="hidden" name="Copy of JAN-FEB-25" sheetId="7" r:id="rId11"/>
    <sheet state="hidden" name="FEB-MAR-25" sheetId="8" r:id="rId12"/>
    <sheet state="hidden" name="MAR-APR_25" sheetId="9" r:id="rId13"/>
    <sheet state="hidden" name="Copy of MAR-APR_25" sheetId="10" r:id="rId14"/>
    <sheet state="hidden" name="APRIL-MAY_25-V1" sheetId="11" r:id="rId15"/>
    <sheet state="hidden" name="APRIL-MAY_25-V2" sheetId="12" r:id="rId16"/>
    <sheet state="hidden" name="MAY 2025-V1" sheetId="13" r:id="rId17"/>
    <sheet state="hidden" name="MAY 2025-V2" sheetId="14" r:id="rId18"/>
    <sheet state="hidden" name="JUNE-2025-V1" sheetId="15" r:id="rId19"/>
    <sheet state="hidden" name="JUNE-2025-V2" sheetId="16" r:id="rId20"/>
    <sheet state="hidden" name="V1-JULY-2025" sheetId="17" r:id="rId21"/>
    <sheet state="hidden" name="V2-JULY-2025" sheetId="18" r:id="rId22"/>
    <sheet state="hidden" name="AUGUST-2025" sheetId="19" r:id="rId23"/>
    <sheet state="hidden" name="V2 AUGUST-2025" sheetId="20" r:id="rId24"/>
    <sheet state="hidden" name="V1-SEPTEMBER 2025" sheetId="21" r:id="rId25"/>
    <sheet state="hidden" name="V1-OCTOBER 2025" sheetId="22" r:id="rId26"/>
    <sheet state="hidden" name="V2-OCTOBER 2025" sheetId="23" r:id="rId27"/>
    <sheet state="hidden" name="NOVEMBER 2025" sheetId="24" r:id="rId28"/>
    <sheet state="hidden" name="DECEMBER 2025" sheetId="25" r:id="rId29"/>
    <sheet state="visible" name="V1-JANUARY 2026" sheetId="26" r:id="rId30"/>
    <sheet state="visible" name="V2-JANUARY 2026" sheetId="27" r:id="rId31"/>
    <sheet state="visible" name="V3-JANUARY 2026" sheetId="28" r:id="rId32"/>
    <sheet state="visible" name="FEBRUARY 2026" sheetId="29" r:id="rId33"/>
    <sheet state="visible" name="MARCH 2026" sheetId="30" r:id="rId34"/>
    <sheet state="visible" name="Copy of MARCH 2026" sheetId="31" r:id="rId35"/>
    <sheet state="visible" name="APRIL  2026" sheetId="32" r:id="rId36"/>
    <sheet state="visible" name="MAY 2026" sheetId="33" r:id="rId37"/>
    <sheet state="visible" name="TEMPLATE 1" sheetId="34" r:id="rId38"/>
    <sheet state="visible" name="TEMPLATE 2" sheetId="35" r:id="rId39"/>
    <sheet state="hidden" name="OLD" sheetId="36" r:id="rId4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tc={01e89b29-7d6d-465d-a658-361d3aefc6ca}</author>
  </authors>
  <commentList>
    <comment authorId="0" xr:uid="{01e89b29-7d6d-465d-a658-361d3aefc6ca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@jdutkowski@ladyaskari.com ... Please review this Schedule.
Assigned to jdutkowski@ladyaskari.com
Reply:
	I am fixing the formulas on it.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tc={e75d270e-eb10-412a-841a-d5e09a34386b}</author>
    <author>tc={fada6e0f-cf77-479c-871c-263c8bb421e2}</author>
  </authors>
  <commentList>
    <comment authorId="0" xr:uid="{e75d270e-eb10-412a-841a-d5e09a34386b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@jdutkowski@ladyaskari.com See the shift draft
Assigned to jdutkowski@ladyaskari.com
Reply:
	The formulas are messed up again. I am going to fix them, but I need to see how you are re-creating the tab and editing things. The formulas are real easy to mess up if you dont do it right.
Reply:
	ok
</t>
      </text>
    </comment>
    <comment authorId="1" xr:uid="{fada6e0f-cf77-479c-871c-263c8bb421e2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@jkaranja@ladyaskari.com mary cannot go from night shift directly into a day shift. Double check this one.
Assigned to jkaranja@ladyaskari.com
Reply:
	I suggest having Sylvia do the day shift on the 10th
Reply:
	on it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tc={6e4990e0-258d-45a8-92b0-e6f4775e6061}</author>
  </authors>
  <commentList>
    <comment authorId="0" xr:uid="{6e4990e0-258d-45a8-92b0-e6f4775e6061}" ref="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@jdutkowski@ladyaskari.com 
Here is the updated shift without Intel desk. 
I will Upload on ZOHO after you have spoken to Mary...
Assigned to jdutkowski@ladyaskari.com
Reply:
	Done. Is the Google calendar figured out yet? I would say we just use the google calendar. If the ladyasarki.net email address is not working for the calendar access, then use personal emails until we figure it out.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tc={b8edcaca-bef5-492c-b1c4-2f2093ef38c7}</author>
  </authors>
  <commentList>
    <comment authorId="0" xr:uid="{b8edcaca-bef5-492c-b1c4-2f2093ef38c7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@jdutkowski@ladyaskari.com 
Kindly Review and Advice.
Assigned to jdutkowski@ladyaskari.com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tc={c831da12-ae59-4271-bfca-86ccf53eb642}</author>
  </authors>
  <commentList>
    <comment authorId="0" xr:uid="{c831da12-ae59-4271-bfca-86ccf53eb642}" ref="A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@jdutkowski@ladyaskari.com 
Kindly review. Shift schedule when Alice begins and the whole of September.
Assigned to jdutkowski@ladyaskari.com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tc={3570ca18-e05c-4292-8e4b-b9375884cef5}</author>
  </authors>
  <commentList>
    <comment authorId="0" xr:uid="{3570ca18-e05c-4292-8e4b-b9375884ce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@jkaranja@ladyaskari.com no need to respond until you are back from your leave. The rotation schedules were set up on a 28 day cycle (4 weeks), I would like to stick with this from an evaluation standpoint, we can do more, but it is the best for calculating and understanding rotations.
Assigned to jkaranja@ladyaskari.com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tc={3ded189e-f04c-454d-95b1-9c23a3e2b683}</author>
  </authors>
  <commentList>
    <comment authorId="0" xr:uid="{3ded189e-f04c-454d-95b1-9c23a3e2b683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@jdutkowski@ladyaskari.com 
This is a draft for February Schedule. 
Judy submitted her Biometrics for Passport yesterday. so we expect her passport anytime before end of next week.
Assigned to jdutkowski@ladyaskari.com
Reply:
	ok thanks for the update. This looks good. Once we have more information, we can update it to reflect the changes.
Reply:
	Sure
</t>
      </text>
    </comment>
  </commentList>
</comments>
</file>

<file path=xl/sharedStrings.xml><?xml version="1.0" encoding="utf-8"?>
<sst xmlns="http://schemas.openxmlformats.org/spreadsheetml/2006/main" count="10696" uniqueCount="169">
  <si>
    <t xml:space="preserve"> </t>
  </si>
  <si>
    <t>AUGUST/SEPTEMBER 24 SCHEDULE</t>
  </si>
  <si>
    <t>Mon</t>
  </si>
  <si>
    <t>Tue</t>
  </si>
  <si>
    <t>Wed</t>
  </si>
  <si>
    <t>Thu</t>
  </si>
  <si>
    <t>Fri</t>
  </si>
  <si>
    <t>Sat</t>
  </si>
  <si>
    <t>Sun</t>
  </si>
  <si>
    <t xml:space="preserve">2nd 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</si>
  <si>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</si>
  <si>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</si>
  <si>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</si>
  <si>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</si>
  <si>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</si>
  <si>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</si>
  <si>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</si>
  <si>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</si>
  <si>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</si>
  <si>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</si>
  <si>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</si>
  <si>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</si>
  <si>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</si>
  <si>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</si>
  <si>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</si>
  <si>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</si>
  <si>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</si>
  <si>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</si>
  <si>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</si>
  <si>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</si>
  <si>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</si>
  <si>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</si>
  <si>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</si>
  <si>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</si>
  <si>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</si>
  <si>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</si>
  <si>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</si>
  <si>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</si>
  <si>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D</t>
  </si>
  <si>
    <t>N</t>
  </si>
  <si>
    <t>X</t>
  </si>
  <si>
    <t>INT</t>
  </si>
  <si>
    <t>SHIFTS</t>
  </si>
  <si>
    <t>Lyn Muthoni</t>
  </si>
  <si>
    <t>AL</t>
  </si>
  <si>
    <t>Christine Njiriri</t>
  </si>
  <si>
    <t>T</t>
  </si>
  <si>
    <t>Mary Ndiema</t>
  </si>
  <si>
    <t>Speranza Kubai</t>
  </si>
  <si>
    <t>DAY SHIFTS</t>
  </si>
  <si>
    <t>NIGHT SHIFTS</t>
  </si>
  <si>
    <t>Ledgend</t>
  </si>
  <si>
    <t>Day Shift</t>
  </si>
  <si>
    <t>Night Shift</t>
  </si>
  <si>
    <t>Intel Position</t>
  </si>
  <si>
    <t>SPV</t>
  </si>
  <si>
    <t>SOC Supervisor</t>
  </si>
  <si>
    <t>OFF</t>
  </si>
  <si>
    <t>OB</t>
  </si>
  <si>
    <t>Onboarding</t>
  </si>
  <si>
    <t>C</t>
  </si>
  <si>
    <t>Comp Day</t>
  </si>
  <si>
    <t>Annual Leave</t>
  </si>
  <si>
    <t>UP</t>
  </si>
  <si>
    <t>Unpaid Leave</t>
  </si>
  <si>
    <t>S</t>
  </si>
  <si>
    <t>Sick Leave</t>
  </si>
  <si>
    <t>Training Day</t>
  </si>
  <si>
    <t>OC</t>
  </si>
  <si>
    <t>On Call</t>
  </si>
  <si>
    <t>31st</t>
  </si>
  <si>
    <t>1st</t>
  </si>
  <si>
    <t>SEPTEMBER/OCTOBER 24 SCHEDULE</t>
  </si>
  <si>
    <t>Sylvia Waithera</t>
  </si>
  <si>
    <t>OCTOBER/NOVEMBER 24 SCHEDULE</t>
  </si>
  <si>
    <t>2nd</t>
  </si>
  <si>
    <t>Avg Weekly Hrs</t>
  </si>
  <si>
    <t>OCT</t>
  </si>
  <si>
    <t>NOVEMBER/DECEMBER 24 SCHEDULE</t>
  </si>
  <si>
    <t>DECEMBER/JANUARY 24/25 SCHEDULE</t>
  </si>
  <si>
    <t>JANUARY/FEBRUARY 25 SCHEDULE</t>
  </si>
  <si>
    <t xml:space="preserve">31st </t>
  </si>
  <si>
    <t>JAN</t>
  </si>
  <si>
    <t>JANUARY/FEBRUARY 2025 SCHEDULE</t>
  </si>
  <si>
    <t>Alice Kyalo</t>
  </si>
  <si>
    <t>OB-N</t>
  </si>
  <si>
    <t>Emily</t>
  </si>
  <si>
    <t>wed</t>
  </si>
  <si>
    <t>8am-530pm</t>
  </si>
  <si>
    <t>730am-7pm</t>
  </si>
  <si>
    <t>Off</t>
  </si>
  <si>
    <t>1230pm-10pm</t>
  </si>
  <si>
    <t>2pm-5pm</t>
  </si>
  <si>
    <t>FEBRUARY/MARCH 2025 SCHEDULE</t>
  </si>
  <si>
    <t>OPS ONLINE COURSE</t>
  </si>
  <si>
    <t>Controller</t>
  </si>
  <si>
    <t>Dates</t>
  </si>
  <si>
    <t>26th-28th</t>
  </si>
  <si>
    <t>1st-3rd</t>
  </si>
  <si>
    <t>3rd-4th</t>
  </si>
  <si>
    <t>John Karanja</t>
  </si>
  <si>
    <t>3rd-5th</t>
  </si>
  <si>
    <t>8th-11th</t>
  </si>
  <si>
    <t>24th-25th</t>
  </si>
  <si>
    <t>Emily Muriithi</t>
  </si>
  <si>
    <t>25th-28th</t>
  </si>
  <si>
    <t>MARCH/APRIL 25 SCHEDULE</t>
  </si>
  <si>
    <t xml:space="preserve">Alice Last day on the 10th. </t>
  </si>
  <si>
    <t xml:space="preserve">Alice Last day on the 17th. </t>
  </si>
  <si>
    <t>APRIL/MAY 2025 SCHEDULE</t>
  </si>
  <si>
    <t>MAY 2025 SCHEDULE</t>
  </si>
  <si>
    <t>JUNE 2025 SCHEDULE</t>
  </si>
  <si>
    <t>SUN</t>
  </si>
  <si>
    <t>MON</t>
  </si>
  <si>
    <t>TUE</t>
  </si>
  <si>
    <t>WED</t>
  </si>
  <si>
    <t>THU</t>
  </si>
  <si>
    <t>FRI</t>
  </si>
  <si>
    <t>SAT</t>
  </si>
  <si>
    <t>JULY 2025 SCHEDULE</t>
  </si>
  <si>
    <t>DRIVERS</t>
  </si>
  <si>
    <t>Lucy Githua</t>
  </si>
  <si>
    <t>Driver Shifts</t>
  </si>
  <si>
    <t>Day</t>
  </si>
  <si>
    <t xml:space="preserve">8am - 6pm </t>
  </si>
  <si>
    <t xml:space="preserve">Night </t>
  </si>
  <si>
    <t>8pm - 6am</t>
  </si>
  <si>
    <t>*When rotating from Night Shift to Day shift, the Monday report time is 11am, unless otherwise communicated</t>
  </si>
  <si>
    <t>AUGUST 2025 SCHEDULE</t>
  </si>
  <si>
    <t xml:space="preserve"> SEPTEMBER 2025 SCHEDULE</t>
  </si>
  <si>
    <t>MARY</t>
  </si>
  <si>
    <t xml:space="preserve"> OCTOBER 2025 SCHEDULE</t>
  </si>
  <si>
    <t>JOHN</t>
  </si>
  <si>
    <t>LYN</t>
  </si>
  <si>
    <t>STEVEN</t>
  </si>
  <si>
    <t>NATALIE</t>
  </si>
  <si>
    <t xml:space="preserve"> NOVEMBER 2025 SCHEDULE</t>
  </si>
  <si>
    <t>Christine</t>
  </si>
  <si>
    <t>Natalie Obondo</t>
  </si>
  <si>
    <t>Command Center</t>
  </si>
  <si>
    <t xml:space="preserve"> DECEMBER 2025 SCHEDULE</t>
  </si>
  <si>
    <t>Reliever</t>
  </si>
  <si>
    <t xml:space="preserve"> JANUARY 2026 SCHEDULE</t>
  </si>
  <si>
    <t xml:space="preserve"> FEBRUARY 2026 SCHEDULE</t>
  </si>
  <si>
    <t xml:space="preserve"> MARCH 2026 SCHEDULE</t>
  </si>
  <si>
    <t xml:space="preserve">29th </t>
  </si>
  <si>
    <t>Employee ID</t>
  </si>
  <si>
    <t>LOA-005</t>
  </si>
  <si>
    <t>SOC-D</t>
  </si>
  <si>
    <t>SOC-N</t>
  </si>
  <si>
    <t>LA-173</t>
  </si>
  <si>
    <t>LA-143</t>
  </si>
  <si>
    <t>LOA-009</t>
  </si>
  <si>
    <t>LA-169</t>
  </si>
  <si>
    <t>LA-183</t>
  </si>
  <si>
    <t>Gloria Mukei</t>
  </si>
  <si>
    <t>LA-188</t>
  </si>
  <si>
    <t>LA-179</t>
  </si>
  <si>
    <t>SD-D</t>
  </si>
  <si>
    <t>SD-N</t>
  </si>
  <si>
    <t>LA-196</t>
  </si>
  <si>
    <t>SOC DAY SHIFTS</t>
  </si>
  <si>
    <t>SOC NIGHT SHIFTS</t>
  </si>
  <si>
    <t>SD DAY SHIFTS</t>
  </si>
  <si>
    <t>SD NIGHT SHIFTS</t>
  </si>
  <si>
    <t>Reliever Driver</t>
  </si>
  <si>
    <t>Natalie Comp 18th to 20th June</t>
  </si>
  <si>
    <t xml:space="preserve"> 2025 SCHEDULE</t>
  </si>
  <si>
    <t>Aloise Mwago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</si>
</sst>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&quot;-&quot;mmm&quot;-&quot;yyyy"/>
    <numFmt numFmtId="166" formatCode="dd-MMM-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9.0"/>
      <color rgb="FF1F1F1F"/>
      <name val="&quot;Google Sans&quot;"/>
    </font>
    <font>
      <b/>
      <color theme="1"/>
      <name val="Arial"/>
      <scheme val="minor"/>
    </font>
    <font>
      <b/>
      <sz val="10.0"/>
      <color rgb="FF1F1F1F"/>
      <name val="&quot;Google Sans&quot;"/>
    </font>
    <font>
      <color theme="1"/>
      <name val="Arial"/>
    </font>
    <font>
      <b/>
      <sz val="9.0"/>
      <color rgb="FF1F1F1F"/>
      <name val="&quot;Google Sans&quot;"/>
    </font>
    <font>
      <b/>
      <color theme="1"/>
      <name val="Arial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18">
    <border/>
    <border>
      <left/>
      <top/>
    </border>
    <border>
      <top/>
    </border>
    <border>
      <left/>
    </border>
    <border>
      <lef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2" fontId="2" numFmtId="0" xfId="0" applyAlignment="1" applyFont="1">
      <alignment horizontal="center" readingOrder="0" vertical="center"/>
    </xf>
    <xf borderId="3" fillId="0" fontId="3" numFmtId="0" xfId="0" applyBorder="1" applyFont="1"/>
    <xf borderId="0" fillId="0" fontId="4" numFmtId="0" xfId="0" applyAlignment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7" numFmtId="0" xfId="0" applyAlignment="1" applyFill="1" applyFon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/>
    </xf>
    <xf borderId="0" fillId="8" fontId="1" numFmtId="0" xfId="0" applyAlignment="1" applyFill="1" applyFont="1">
      <alignment horizontal="center"/>
    </xf>
    <xf borderId="0" fillId="4" fontId="1" numFmtId="0" xfId="0" applyAlignment="1" applyFont="1">
      <alignment readingOrder="0"/>
    </xf>
    <xf borderId="0" fillId="4" fontId="1" numFmtId="0" xfId="0" applyAlignment="1" applyFont="1">
      <alignment horizontal="center"/>
    </xf>
    <xf borderId="0" fillId="0" fontId="9" numFmtId="0" xfId="0" applyAlignment="1" applyFont="1">
      <alignment horizontal="center"/>
    </xf>
    <xf borderId="7" fillId="9" fontId="7" numFmtId="0" xfId="0" applyAlignment="1" applyBorder="1" applyFill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0" fillId="0" fontId="9" numFmtId="0" xfId="0" applyAlignment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3" numFmtId="0" xfId="0" applyBorder="1" applyFont="1"/>
    <xf borderId="12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13" fillId="0" fontId="3" numFmtId="0" xfId="0" applyBorder="1" applyFont="1"/>
    <xf borderId="14" fillId="0" fontId="5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3" fontId="11" numFmtId="0" xfId="0" applyAlignment="1" applyFont="1">
      <alignment horizontal="center"/>
    </xf>
    <xf borderId="0" fillId="5" fontId="9" numFmtId="0" xfId="0" applyAlignment="1" applyFont="1">
      <alignment horizontal="center"/>
    </xf>
    <xf borderId="6" fillId="0" fontId="7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0" fillId="3" fontId="11" numFmtId="0" xfId="0" applyAlignment="1" applyFont="1">
      <alignment horizontal="center" vertical="bottom"/>
    </xf>
    <xf borderId="0" fillId="4" fontId="11" numFmtId="0" xfId="0" applyAlignment="1" applyFont="1">
      <alignment horizontal="center" vertical="bottom"/>
    </xf>
    <xf borderId="0" fillId="5" fontId="11" numFmtId="0" xfId="0" applyAlignment="1" applyFont="1">
      <alignment horizontal="center" vertical="bottom"/>
    </xf>
    <xf borderId="0" fillId="6" fontId="11" numFmtId="0" xfId="0" applyAlignment="1" applyFont="1">
      <alignment horizontal="center" vertical="bottom"/>
    </xf>
    <xf borderId="0" fillId="7" fontId="11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6" fontId="11" numFmtId="0" xfId="0" applyAlignment="1" applyFont="1">
      <alignment horizontal="center"/>
    </xf>
    <xf borderId="0" fillId="10" fontId="9" numFmtId="0" xfId="0" applyAlignment="1" applyFill="1" applyFont="1">
      <alignment horizontal="center"/>
    </xf>
    <xf borderId="0" fillId="3" fontId="1" numFmtId="0" xfId="0" applyAlignment="1" applyFont="1">
      <alignment horizontal="center" readingOrder="0"/>
    </xf>
    <xf borderId="0" fillId="8" fontId="7" numFmtId="0" xfId="0" applyAlignment="1" applyFont="1">
      <alignment horizontal="center" readingOrder="0"/>
    </xf>
    <xf borderId="0" fillId="7" fontId="1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center"/>
    </xf>
    <xf borderId="0" fillId="6" fontId="11" numFmtId="0" xfId="0" applyAlignment="1" applyFont="1">
      <alignment horizontal="left" vertical="bottom"/>
    </xf>
    <xf borderId="0" fillId="6" fontId="11" numFmtId="0" xfId="0" applyAlignment="1" applyFont="1">
      <alignment horizontal="left" readingOrder="0" vertical="bottom"/>
    </xf>
    <xf borderId="0" fillId="10" fontId="9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8" fontId="11" numFmtId="0" xfId="0" applyAlignment="1" applyFont="1">
      <alignment horizontal="left" readingOrder="0" vertical="bottom"/>
    </xf>
    <xf borderId="0" fillId="8" fontId="9" numFmtId="0" xfId="0" applyAlignment="1" applyFont="1">
      <alignment horizontal="left" readingOrder="0" vertical="bottom"/>
    </xf>
    <xf borderId="0" fillId="0" fontId="11" numFmtId="0" xfId="0" applyAlignment="1" applyFont="1">
      <alignment horizontal="center" readingOrder="0"/>
    </xf>
    <xf borderId="15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16" fillId="0" fontId="7" numFmtId="0" xfId="0" applyAlignment="1" applyBorder="1" applyFont="1">
      <alignment readingOrder="0"/>
    </xf>
    <xf borderId="0" fillId="8" fontId="11" numFmtId="0" xfId="0" applyAlignment="1" applyFont="1">
      <alignment horizontal="center"/>
    </xf>
    <xf borderId="0" fillId="8" fontId="9" numFmtId="0" xfId="0" applyAlignment="1" applyFont="1">
      <alignment horizontal="center"/>
    </xf>
    <xf borderId="0" fillId="8" fontId="1" numFmtId="0" xfId="0" applyFont="1"/>
    <xf borderId="0" fillId="8" fontId="1" numFmtId="0" xfId="0" applyAlignment="1" applyFont="1">
      <alignment horizontal="left" readingOrder="0" vertical="center"/>
    </xf>
    <xf borderId="0" fillId="8" fontId="1" numFmtId="0" xfId="0" applyAlignment="1" applyFont="1">
      <alignment horizontal="left" readingOrder="0"/>
    </xf>
    <xf borderId="0" fillId="8" fontId="1" numFmtId="0" xfId="0" applyAlignment="1" applyFont="1">
      <alignment readingOrder="0"/>
    </xf>
    <xf borderId="0" fillId="8" fontId="1" numFmtId="0" xfId="0" applyAlignment="1" applyFont="1">
      <alignment horizontal="center" readingOrder="0" vertical="center"/>
    </xf>
    <xf borderId="0" fillId="8" fontId="11" numFmtId="0" xfId="0" applyAlignment="1" applyFont="1">
      <alignment horizontal="left" vertical="bottom"/>
    </xf>
    <xf borderId="0" fillId="8" fontId="9" numFmtId="0" xfId="0" applyAlignment="1" applyFont="1">
      <alignment horizontal="left" vertical="bottom"/>
    </xf>
    <xf borderId="15" fillId="0" fontId="11" numFmtId="0" xfId="0" applyAlignment="1" applyBorder="1" applyFont="1">
      <alignment horizontal="center" readingOrder="0"/>
    </xf>
    <xf borderId="17" fillId="0" fontId="3" numFmtId="0" xfId="0" applyBorder="1" applyFont="1"/>
    <xf borderId="14" fillId="0" fontId="3" numFmtId="0" xfId="0" applyBorder="1" applyFont="1"/>
    <xf borderId="15" fillId="0" fontId="7" numFmtId="0" xfId="0" applyAlignment="1" applyBorder="1" applyFont="1">
      <alignment readingOrder="0"/>
    </xf>
    <xf borderId="15" fillId="0" fontId="8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 readingOrder="0" vertical="center"/>
    </xf>
    <xf borderId="0" fillId="2" fontId="1" numFmtId="0" xfId="0" applyFont="1"/>
    <xf borderId="0" fillId="0" fontId="9" numFmtId="164" xfId="0" applyAlignment="1" applyFont="1" applyNumberFormat="1">
      <alignment horizontal="center" vertical="bottom"/>
    </xf>
    <xf borderId="0" fillId="0" fontId="7" numFmtId="0" xfId="0" applyAlignment="1" applyFont="1">
      <alignment horizontal="center" readingOrder="0"/>
    </xf>
    <xf borderId="0" fillId="8" fontId="5" numFmtId="0" xfId="0" applyAlignment="1" applyFont="1">
      <alignment horizontal="center" readingOrder="0"/>
    </xf>
    <xf borderId="0" fillId="8" fontId="7" numFmtId="0" xfId="0" applyAlignment="1" applyFont="1">
      <alignment readingOrder="0"/>
    </xf>
    <xf borderId="0" fillId="8" fontId="7" numFmtId="0" xfId="0" applyAlignment="1" applyFont="1">
      <alignment horizontal="left" readingOrder="0"/>
    </xf>
    <xf borderId="0" fillId="0" fontId="7" numFmtId="0" xfId="0" applyAlignment="1" applyFont="1">
      <alignment readingOrder="0" shrinkToFit="0" vertical="top" wrapText="1"/>
    </xf>
    <xf borderId="0" fillId="8" fontId="7" numFmtId="0" xfId="0" applyAlignment="1" applyFont="1">
      <alignment horizontal="left" readingOrder="0" vertical="center"/>
    </xf>
    <xf borderId="1" fillId="2" fontId="2" numFmtId="0" xfId="0" applyAlignment="1" applyBorder="1" applyFont="1">
      <alignment horizontal="center" readingOrder="0" vertical="bottom"/>
    </xf>
    <xf borderId="0" fillId="2" fontId="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8" fontId="5" numFmtId="0" xfId="0" applyAlignment="1" applyFont="1">
      <alignment horizontal="center"/>
    </xf>
    <xf borderId="0" fillId="8" fontId="11" numFmtId="0" xfId="0" applyAlignment="1" applyFont="1">
      <alignment horizontal="center" vertical="bottom"/>
    </xf>
    <xf borderId="0" fillId="8" fontId="11" numFmtId="0" xfId="0" applyAlignment="1" applyFont="1">
      <alignment horizontal="center" readingOrder="0" vertical="bottom"/>
    </xf>
    <xf borderId="0" fillId="8" fontId="8" numFmtId="0" xfId="0" applyAlignment="1" applyFont="1">
      <alignment readingOrder="0"/>
    </xf>
    <xf borderId="0" fillId="8" fontId="9" numFmtId="0" xfId="0" applyAlignment="1" applyFont="1">
      <alignment horizontal="center" vertical="bottom"/>
    </xf>
    <xf borderId="0" fillId="8" fontId="9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/>
    </xf>
    <xf borderId="0" fillId="0" fontId="6" numFmtId="165" xfId="0" applyAlignment="1" applyFont="1" applyNumberFormat="1">
      <alignment readingOrder="0"/>
    </xf>
    <xf borderId="0" fillId="0" fontId="9" numFmtId="166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/>
    </xf>
    <xf borderId="0" fillId="3" fontId="11" numFmtId="165" xfId="0" applyAlignment="1" applyFont="1" applyNumberFormat="1">
      <alignment horizontal="center" vertical="bottom"/>
    </xf>
    <xf borderId="0" fillId="4" fontId="11" numFmtId="165" xfId="0" applyAlignment="1" applyFont="1" applyNumberFormat="1">
      <alignment horizontal="center" vertical="bottom"/>
    </xf>
    <xf borderId="0" fillId="5" fontId="11" numFmtId="165" xfId="0" applyAlignment="1" applyFont="1" applyNumberFormat="1">
      <alignment horizontal="center" vertical="bottom"/>
    </xf>
    <xf borderId="0" fillId="7" fontId="11" numFmtId="165" xfId="0" applyAlignment="1" applyFont="1" applyNumberFormat="1">
      <alignment horizontal="center" vertical="bottom"/>
    </xf>
    <xf borderId="0" fillId="7" fontId="11" numFmtId="165" xfId="0" applyAlignment="1" applyFont="1" applyNumberFormat="1">
      <alignment horizontal="center" readingOrder="0" vertical="bottom"/>
    </xf>
    <xf borderId="0" fillId="0" fontId="9" numFmtId="166" xfId="0" applyAlignment="1" applyFont="1" applyNumberFormat="1">
      <alignment horizontal="right" readingOrder="0" vertical="bottom"/>
    </xf>
    <xf borderId="0" fillId="11" fontId="11" numFmtId="0" xfId="0" applyAlignment="1" applyFill="1" applyFont="1">
      <alignment horizontal="left" readingOrder="0" vertical="bottom"/>
    </xf>
    <xf borderId="0" fillId="9" fontId="11" numFmtId="0" xfId="0" applyAlignment="1" applyFont="1">
      <alignment horizontal="left" readingOrder="0" vertical="bottom"/>
    </xf>
    <xf borderId="0" fillId="7" fontId="1" numFmtId="0" xfId="0" applyAlignment="1" applyFont="1">
      <alignment readingOrder="0"/>
    </xf>
    <xf borderId="0" fillId="7" fontId="1" numFmtId="0" xfId="0" applyFont="1"/>
    <xf borderId="10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</cellXfs>
  <cellStyles count="1">
    <cellStyle xfId="0" name="Normal" builtinId="0"/>
  </cellStyles>
  <dxfs count="14">
    <dxf>
      <font/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A4C2F4"/>
          <bgColor rgb="FFA4C2F4"/>
        </patternFill>
      </fill>
      <border/>
    </dxf>
    <dxf>
      <font>
        <b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/>
        <color rgb="FFFFFFFF"/>
      </font>
      <fill>
        <patternFill patternType="solid">
          <fgColor rgb="FF3C78D8"/>
          <bgColor rgb="FF3C78D8"/>
        </patternFill>
      </fill>
      <border/>
    </dxf>
    <dxf>
      <font>
        <b/>
      </font>
      <fill>
        <patternFill patternType="solid">
          <fgColor rgb="FFFF00FF"/>
          <bgColor rgb="FFFF00FF"/>
        </patternFill>
      </fill>
      <border/>
    </dxf>
    <dxf>
      <font>
        <b/>
        <color rgb="FFFFFFFF"/>
      </font>
      <fill>
        <patternFill patternType="solid">
          <fgColor rgb="FF3D85C6"/>
          <bgColor rgb="FF3D85C6"/>
        </patternFill>
      </fill>
      <border/>
    </dxf>
    <dxf>
      <font>
        <color rgb="FFFFFFFF"/>
      </font>
      <fill>
        <patternFill patternType="solid">
          <fgColor rgb="FF3D85C6"/>
          <bgColor rgb="FF3D85C6"/>
        </patternFill>
      </fill>
      <border/>
    </dxf>
    <dxf>
      <font>
        <b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cdd4f933-17fe-41d4-963c-037817718120}">
    <Anchor>
      <Comment id="{01e89b29-7d6d-465d-a658-361d3aefc6ca}"/>
    </Anchor>
    <History>
      <Event time="2024-09-18T11:21:24.00" id="{ec7fc127-c203-4303-861c-c37443989944}">
        <Attribution userId="placeholder@email.com" userName="John Karanja" userProvider="google-sheets"/>
        <Anchor>
          <Comment id="{01e89b29-7d6d-465d-a658-361d3aefc6ca}"/>
        </Anchor>
        <Create/>
      </Event>
      <Event time="2024-09-18T11:21:24.00" id="{9e193070-81e5-43c7-84d7-80b8cb1f8e6a}">
        <Attribution userId="placeholder@email.com" userName="John Karanja" userProvider="google-sheets"/>
        <Anchor>
          <Comment id="{01e89b29-7d6d-465d-a658-361d3aefc6ca}"/>
        </Anchor>
        <Assign userId="jdutkowski@ladyaskari.com" userName="jdutkowski@ladyaskari.com" userProvider="google-sheets"/>
      </Event>
    </History>
  </Task>
</Tasks>
</file>

<file path=xl/documenttasks/documenttask2.xml><?xml version="1.0" encoding="utf-8"?>
<Tasks xmlns="http://schemas.microsoft.com/office/tasks/2019/documenttasks">
  <Task id="{21fc4b74-b028-42b4-8c0d-87f275649dd8}">
    <Anchor>
      <Comment id="{fada6e0f-cf77-479c-871c-263c8bb421e2}"/>
    </Anchor>
    <History>
      <Event time="2024-10-23T10:18:35.00" id="{0a88f1d3-4c94-4965-81d9-d137c38827b6}">
        <Attribution userId="placeholder@email.com" userName="James Dutkowski" userProvider="google-sheets"/>
        <Anchor>
          <Comment id="{fada6e0f-cf77-479c-871c-263c8bb421e2}"/>
        </Anchor>
        <Create/>
      </Event>
      <Event time="2024-10-23T10:18:35.00" id="{88f25a1c-5ac7-4bec-b01d-6e1140b92d69}">
        <Attribution userId="placeholder@email.com" userName="James Dutkowski" userProvider="google-sheets"/>
        <Anchor>
          <Comment id="{fada6e0f-cf77-479c-871c-263c8bb421e2}"/>
        </Anchor>
        <Assign userId="jkaranja@ladyaskari.com" userName="jkaranja@ladyaskari.com" userProvider="google-sheets"/>
      </Event>
    </History>
  </Task>
  <Task id="{10629063-e642-4c78-abb2-67dd57eca814}">
    <Anchor>
      <Comment id="{e75d270e-eb10-412a-841a-d5e09a34386b}"/>
    </Anchor>
    <History>
      <Event time="2024-10-23T05:54:16.00" id="{3d9825f3-895d-46da-ad9f-9aea6fe4cc5d}">
        <Attribution userId="placeholder@email.com" userName="John Karanja" userProvider="google-sheets"/>
        <Anchor>
          <Comment id="{e75d270e-eb10-412a-841a-d5e09a34386b}"/>
        </Anchor>
        <Create/>
      </Event>
      <Event time="2024-10-23T05:54:16.00" id="{ee75f4af-5061-4c18-9f54-2ee70e33e3d5}">
        <Attribution userId="placeholder@email.com" userName="John Karanja" userProvider="google-sheets"/>
        <Anchor>
          <Comment id="{e75d270e-eb10-412a-841a-d5e09a34386b}"/>
        </Anchor>
        <Assign userId="jdutkowski@ladyaskari.com" userName="jdutkowski@ladyaskari.com" userProvider="google-sheets"/>
      </Event>
    </History>
  </Task>
</Tasks>
</file>

<file path=xl/documenttasks/documenttask3.xml><?xml version="1.0" encoding="utf-8"?>
<Tasks xmlns="http://schemas.microsoft.com/office/tasks/2019/documenttasks">
  <Task id="{e690248e-782c-4c1f-9e9e-e4f226ba7b1c}">
    <Anchor>
      <Comment id="{6e4990e0-258d-45a8-92b0-e6f4775e6061}"/>
    </Anchor>
    <History>
      <Event time="2025-04-01T15:33:33.00" id="{5f3e2ede-f9d2-4702-93d4-9279fa4a59f7}">
        <Attribution userId="placeholder@email.com" userName="John Karanja" userProvider="google-sheets"/>
        <Anchor>
          <Comment id="{6e4990e0-258d-45a8-92b0-e6f4775e6061}"/>
        </Anchor>
        <Create/>
      </Event>
      <Event time="2025-04-01T15:33:33.00" id="{2e85f318-ad84-4050-bc90-d835870d61e6}">
        <Attribution userId="placeholder@email.com" userName="John Karanja" userProvider="google-sheets"/>
        <Anchor>
          <Comment id="{6e4990e0-258d-45a8-92b0-e6f4775e6061}"/>
        </Anchor>
        <Assign userId="jdutkowski@ladyaskari.com" userName="jdutkowski@ladyaskari.com" userProvider="google-sheets"/>
      </Event>
    </History>
  </Task>
</Tasks>
</file>

<file path=xl/documenttasks/documenttask4.xml><?xml version="1.0" encoding="utf-8"?>
<Tasks xmlns="http://schemas.microsoft.com/office/tasks/2019/documenttasks">
  <Task id="{63c1fc09-6e81-4367-94da-6ec3b528e4b3}">
    <Anchor>
      <Comment id="{b8edcaca-bef5-492c-b1c4-2f2093ef38c7}"/>
    </Anchor>
    <History>
      <Event time="2025-07-02T13:50:07.00" id="{b57b30d5-b497-4f8e-8553-285eff91ae32}">
        <Attribution userId="placeholder@email.com" userName="John Karanja" userProvider="google-sheets"/>
        <Anchor>
          <Comment id="{b8edcaca-bef5-492c-b1c4-2f2093ef38c7}"/>
        </Anchor>
        <Create/>
      </Event>
      <Event time="2025-07-02T13:50:07.00" id="{43a6ff7b-ae44-449b-895b-ceea42b8a993}">
        <Attribution userId="placeholder@email.com" userName="John Karanja" userProvider="google-sheets"/>
        <Anchor>
          <Comment id="{b8edcaca-bef5-492c-b1c4-2f2093ef38c7}"/>
        </Anchor>
        <Assign userId="jdutkowski@ladyaskari.com" userName="jdutkowski@ladyaskari.com" userProvider="google-sheets"/>
      </Event>
    </History>
  </Task>
</Tasks>
</file>

<file path=xl/documenttasks/documenttask5.xml><?xml version="1.0" encoding="utf-8"?>
<Tasks xmlns="http://schemas.microsoft.com/office/tasks/2019/documenttasks">
  <Task id="{515dd55a-683f-474f-9dfa-352ab7bf41cb}">
    <Anchor>
      <Comment id="{c831da12-ae59-4271-bfca-86ccf53eb642}"/>
    </Anchor>
    <History>
      <Event time="2025-08-08T11:19:54.00" id="{6884ba97-1dd3-4b2b-8636-61785c4e6ab4}">
        <Attribution userId="placeholder@email.com" userName="John Karanja" userProvider="google-sheets"/>
        <Anchor>
          <Comment id="{c831da12-ae59-4271-bfca-86ccf53eb642}"/>
        </Anchor>
        <Create/>
      </Event>
      <Event time="2025-08-08T11:19:54.00" id="{ddb0c2b0-1091-4243-9671-4f71b853db11}">
        <Attribution userId="placeholder@email.com" userName="John Karanja" userProvider="google-sheets"/>
        <Anchor>
          <Comment id="{c831da12-ae59-4271-bfca-86ccf53eb642}"/>
        </Anchor>
        <Assign userId="jdutkowski@ladyaskari.com" userName="jdutkowski@ladyaskari.com" userProvider="google-sheets"/>
      </Event>
    </History>
  </Task>
</Tasks>
</file>

<file path=xl/documenttasks/documenttask6.xml><?xml version="1.0" encoding="utf-8"?>
<Tasks xmlns="http://schemas.microsoft.com/office/tasks/2019/documenttasks">
  <Task id="{ad978dd8-5994-439a-b6ce-f0663d176539}">
    <Anchor>
      <Comment id="{3570ca18-e05c-4292-8e4b-b9375884cef5}"/>
    </Anchor>
    <History>
      <Event time="2025-08-11T07:23:33.00" id="{7571749b-1dc6-4359-a80f-ab0214b33a7d}">
        <Attribution userId="placeholder@email.com" userName="James Dutkowski" userProvider="google-sheets"/>
        <Anchor>
          <Comment id="{3570ca18-e05c-4292-8e4b-b9375884cef5}"/>
        </Anchor>
        <Create/>
      </Event>
      <Event time="2025-08-11T07:23:33.00" id="{152def7e-df58-4b91-abb3-68698d1f3ce9}">
        <Attribution userId="placeholder@email.com" userName="James Dutkowski" userProvider="google-sheets"/>
        <Anchor>
          <Comment id="{3570ca18-e05c-4292-8e4b-b9375884cef5}"/>
        </Anchor>
        <Assign userId="jkaranja@ladyaskari.com" userName="jkaranja@ladyaskari.com" userProvider="google-sheets"/>
      </Event>
    </History>
  </Task>
</Tasks>
</file>

<file path=xl/documenttasks/documenttask7.xml><?xml version="1.0" encoding="utf-8"?>
<Tasks xmlns="http://schemas.microsoft.com/office/tasks/2019/documenttasks">
  <Task id="{58035d87-6922-4e94-b6c7-dd17beec1316}">
    <Anchor>
      <Comment id="{3ded189e-f04c-454d-95b1-9c23a3e2b683}"/>
    </Anchor>
    <History>
      <Event time="2026-01-15T08:51:48.00" id="{191e1dff-e3fb-45ef-8eb4-4ffd098cc053}">
        <Attribution userId="placeholder@email.com" userName="John Karanja" userProvider="google-sheets"/>
        <Anchor>
          <Comment id="{3ded189e-f04c-454d-95b1-9c23a3e2b683}"/>
        </Anchor>
        <Create/>
      </Event>
      <Event time="2026-01-15T08:51:48.00" id="{ab2157a5-8ff8-42bd-8f6c-8e97dd4638e5}">
        <Attribution userId="placeholder@email.com" userName="John Karanja" userProvider="google-sheets"/>
        <Anchor>
          <Comment id="{3ded189e-f04c-454d-95b1-9c23a3e2b683}"/>
        </Anchor>
        <Assign userId="jdutkowski@ladyaskari.com" userName="jdutkowski@ladyaskari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dutkowski@ladyaskari.com" id="{a7570ef8-173a-442e-946e-da4eb4737678}" userId="jdutkowski@ladyaskari.com" providerId="google-sheets"/>
  <x18tc:person displayName="jkaranja@ladyaskari.com" id="{05848cee-d5fb-4b26-b950-3d48e5d6b5ac}" userId="jkaranja@ladyaskari.com" providerId="google-sheets"/>
  <x18tc:person displayName="James Dutkowski" id="{4489b7ce-343d-47c9-b0be-30e901149043}" providerId="google-sheets"/>
  <x18tc:person displayName="John Karanja" id="{0f54e475-8481-44e9-a885-8f7ea4cd59f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4-09-18T11:21:24.00" personId="{0f54e475-8481-44e9-a885-8f7ea4cd59fb}" id="{01e89b29-7d6d-465d-a658-361d3aefc6ca}" done="1">
    <x18tc:text xml:space="preserve">@jdutkowski@ladyaskari.com ... Please review this Schedule.
Assigned to jdutkowski@ladyaskari.com</x18tc:text>
    <x18tc:mentions>
      <x18tc:mention mentionpersonId="{a7570ef8-173a-442e-946e-da4eb4737678}" mentionId="{5e5fc229-350e-43af-a992-0d734ec1b134}" startIndex="0" length="26"/>
    </x18tc:mentions>
  </x18tc:threadedComment>
  <x18tc:threadedComment ref="B1" dT="2024-09-18T12:02:38.00" personId="{4489b7ce-343d-47c9-b0be-30e901149043}" id="{3c939d1c-d89d-4402-b729-75fd3c0ff0aa}" parentId="{01e89b29-7d6d-465d-a658-361d3aefc6ca}">
    <x18tc:text xml:space="preserve">I am fixing the formulas on it.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9" dT="2024-10-23T10:18:35.00" personId="{4489b7ce-343d-47c9-b0be-30e901149043}" id="{fada6e0f-cf77-479c-871c-263c8bb421e2}" done="1">
    <x18tc:text xml:space="preserve">@jkaranja@ladyaskari.com mary cannot go from night shift directly into a day shift. Double check this one.
Assigned to jkaranja@ladyaskari.com</x18tc:text>
    <x18tc:mentions>
      <x18tc:mention mentionpersonId="{05848cee-d5fb-4b26-b950-3d48e5d6b5ac}" mentionId="{be1429af-6e97-4ee7-97cf-188f1c2fa9cf}" startIndex="0" length="24"/>
    </x18tc:mentions>
  </x18tc:threadedComment>
  <x18tc:threadedComment ref="N9" dT="2024-10-23T10:19:08.00" personId="{4489b7ce-343d-47c9-b0be-30e901149043}" id="{e6618543-de63-419c-a505-fc1ad0502e10}" parentId="{fada6e0f-cf77-479c-871c-263c8bb421e2}">
    <x18tc:text xml:space="preserve">I suggest having Sylvia do the day shift on the 10th</x18tc:text>
  </x18tc:threadedComment>
  <x18tc:threadedComment ref="N9" dT="2024-10-23T10:37:58.00" personId="{0f54e475-8481-44e9-a885-8f7ea4cd59fb}" id="{17d2e5ea-44bd-49ec-a040-a54b1851858c}" parentId="{fada6e0f-cf77-479c-871c-263c8bb421e2}">
    <x18tc:text xml:space="preserve">on it</x18tc:text>
  </x18tc:threadedComment>
  <x18tc:threadedComment ref="B1" dT="2024-10-23T05:54:16.00" personId="{0f54e475-8481-44e9-a885-8f7ea4cd59fb}" id="{e75d270e-eb10-412a-841a-d5e09a34386b}" done="1">
    <x18tc:text xml:space="preserve">@jdutkowski@ladyaskari.com See the shift draft
Assigned to jdutkowski@ladyaskari.com</x18tc:text>
    <x18tc:mentions>
      <x18tc:mention mentionpersonId="{a7570ef8-173a-442e-946e-da4eb4737678}" mentionId="{abb0b018-bbaf-4955-9cf2-19fa9f735801}" startIndex="0" length="26"/>
    </x18tc:mentions>
  </x18tc:threadedComment>
  <x18tc:threadedComment ref="B1" dT="2024-10-23T08:52:25.00" personId="{4489b7ce-343d-47c9-b0be-30e901149043}" id="{731dd0ea-cc4a-4e91-a892-cb67aba3ec77}" parentId="{e75d270e-eb10-412a-841a-d5e09a34386b}">
    <x18tc:text xml:space="preserve">The formulas are messed up again. I am going to fix them, but I need to see how you are re-creating the tab and editing things. The formulas are real easy to mess up if you dont do it right.</x18tc:text>
  </x18tc:threadedComment>
  <x18tc:threadedComment ref="B1" dT="2024-10-23T09:04:54.00" personId="{0f54e475-8481-44e9-a885-8f7ea4cd59fb}" id="{85f56323-b7f2-4296-9b17-21772866ac48}" parentId="{e75d270e-eb10-412a-841a-d5e09a34386b}">
    <x18tc:text xml:space="preserve">ok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4" dT="2025-04-01T15:33:33.00" personId="{0f54e475-8481-44e9-a885-8f7ea4cd59fb}" id="{6e4990e0-258d-45a8-92b0-e6f4775e6061}" done="0">
    <x18tc:text xml:space="preserve">@jdutkowski@ladyaskari.com 
Here is the updated shift without Intel desk. 
I will Upload on ZOHO after you have spoken to Mary...
Assigned to jdutkowski@ladyaskari.com</x18tc:text>
    <x18tc:mentions>
      <x18tc:mention mentionpersonId="{a7570ef8-173a-442e-946e-da4eb4737678}" mentionId="{22845cc6-61e7-431f-bb74-b65e47089f8d}" startIndex="0" length="26"/>
    </x18tc:mentions>
  </x18tc:threadedComment>
  <x18tc:threadedComment ref="R4" dT="2025-04-01T16:45:27.00" personId="{4489b7ce-343d-47c9-b0be-30e901149043}" id="{3d4b756f-4742-47ce-8547-484b9c8606f2}" parentId="{6e4990e0-258d-45a8-92b0-e6f4775e6061}">
    <x18tc:text xml:space="preserve">Done. Is the Google calendar figured out yet? I would say we just use the google calendar. If the ladyasarki.net email address is not working for the calendar access, then use personal emails until we figure it out.</x18tc:text>
    <x18tc:extLst>
      <ext uri="{F7C98A9C-CBB3-438F-8F68-D28B6AF4A901}">
        <xltc2:checksum/>
        <xltc2:hyperlink startIndex="98" length="14" url="http://ladyasarki.net"/>
      </ext>
    </x18tc:extLs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" dT="2025-07-02T13:50:07.00" personId="{0f54e475-8481-44e9-a885-8f7ea4cd59fb}" id="{b8edcaca-bef5-492c-b1c4-2f2093ef38c7}" done="1">
    <x18tc:text xml:space="preserve">@jdutkowski@ladyaskari.com 
Kindly Review and Advice.
Assigned to jdutkowski@ladyaskari.com</x18tc:text>
    <x18tc:mentions>
      <x18tc:mention mentionpersonId="{a7570ef8-173a-442e-946e-da4eb4737678}" mentionId="{d8373fa8-0531-4b1a-b4fd-60304b417320}" startIndex="0" length="26"/>
    </x18tc:mentions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4" dT="2025-08-08T11:19:54.00" personId="{0f54e475-8481-44e9-a885-8f7ea4cd59fb}" id="{c831da12-ae59-4271-bfca-86ccf53eb642}" done="1">
    <x18tc:text xml:space="preserve">@jdutkowski@ladyaskari.com 
Kindly review. Shift schedule when Alice begins and the whole of September.
Assigned to jdutkowski@ladyaskari.com</x18tc:text>
    <x18tc:mentions>
      <x18tc:mention mentionpersonId="{a7570ef8-173a-442e-946e-da4eb4737678}" mentionId="{d22287c7-4060-4fc3-b815-2b6102009590}" startIndex="0" length="26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11T07:23:33.00" personId="{4489b7ce-343d-47c9-b0be-30e901149043}" id="{3570ca18-e05c-4292-8e4b-b9375884cef5}" done="1">
    <x18tc:text xml:space="preserve">@jkaranja@ladyaskari.com no need to respond until you are back from your leave. The rotation schedules were set up on a 28 day cycle (4 weeks), I would like to stick with this from an evaluation standpoint, we can do more, but it is the best for calculating and understanding rotations.
Assigned to jkaranja@ladyaskari.com</x18tc:text>
    <x18tc:mentions>
      <x18tc:mention mentionpersonId="{05848cee-d5fb-4b26-b950-3d48e5d6b5ac}" mentionId="{e25bb2a8-7e26-4202-be22-ef18a4b04373}" startIndex="0" length="24"/>
    </x18tc:mentions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1-15T08:51:48.00" personId="{0f54e475-8481-44e9-a885-8f7ea4cd59fb}" id="{3ded189e-f04c-454d-95b1-9c23a3e2b683}" done="1">
    <x18tc:text xml:space="preserve">@jdutkowski@ladyaskari.com 
This is a draft for February Schedule. 
Judy submitted her Biometrics for Passport yesterday. so we expect her passport anytime before end of next week.
Assigned to jdutkowski@ladyaskari.com</x18tc:text>
    <x18tc:mentions>
      <x18tc:mention mentionpersonId="{a7570ef8-173a-442e-946e-da4eb4737678}" mentionId="{c7280d32-3f41-4e43-b8ce-c3e74a3642dc}" startIndex="0" length="26"/>
    </x18tc:mentions>
  </x18tc:threadedComment>
  <x18tc:threadedComment ref="B1" dT="2026-01-15T08:58:11.00" personId="{4489b7ce-343d-47c9-b0be-30e901149043}" id="{9d26b0b6-5170-4992-ab9b-4339e9347a8f}" parentId="{3ded189e-f04c-454d-95b1-9c23a3e2b683}">
    <x18tc:text xml:space="preserve">ok thanks for the update. This looks good. Once we have more information, we can update it to reflect the changes.</x18tc:text>
  </x18tc:threadedComment>
  <x18tc:threadedComment ref="B1" dT="2026-01-15T09:01:25.00" personId="{0f54e475-8481-44e9-a885-8f7ea4cd59fb}" id="{0d254640-1b28-4516-b1af-a837785575ad}" parentId="{3ded189e-f04c-454d-95b1-9c23a3e2b683}">
    <x18tc:text xml:space="preserve">Sure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5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26.xml"/><Relationship Id="rId5" Type="http://schemas.openxmlformats.org/officeDocument/2006/relationships/vmlDrawing" Target="../drawings/vmlDrawing6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29.xml"/><Relationship Id="rId5" Type="http://schemas.openxmlformats.org/officeDocument/2006/relationships/vmlDrawing" Target="../drawings/vmlDrawing7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</row>
    <row r="2">
      <c r="B2" s="5"/>
      <c r="AD2" s="4"/>
      <c r="AE2" s="4"/>
      <c r="AF2" s="4"/>
      <c r="AG2" s="4"/>
      <c r="AH2" s="4"/>
      <c r="AI2" s="4"/>
      <c r="AJ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</row>
    <row r="4">
      <c r="A4" s="6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10" t="s">
        <v>2</v>
      </c>
      <c r="AE4" s="11"/>
      <c r="AF4" s="11"/>
      <c r="AG4" s="11"/>
      <c r="AH4" s="11"/>
      <c r="AI4" s="11"/>
      <c r="AJ4" s="11"/>
    </row>
    <row r="5">
      <c r="A5" s="12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3" t="s">
        <v>14</v>
      </c>
      <c r="H5" s="13" t="s">
        <v>15</v>
      </c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21</v>
      </c>
      <c r="O5" s="13" t="s">
        <v>22</v>
      </c>
      <c r="P5" s="13" t="s">
        <v>23</v>
      </c>
      <c r="Q5" s="13" t="s">
        <v>24</v>
      </c>
      <c r="R5" s="13" t="s">
        <v>25</v>
      </c>
      <c r="S5" s="13" t="s">
        <v>26</v>
      </c>
      <c r="T5" s="13" t="s">
        <v>27</v>
      </c>
      <c r="U5" s="13" t="s">
        <v>28</v>
      </c>
      <c r="V5" s="13" t="s">
        <v>29</v>
      </c>
      <c r="W5" s="13" t="s">
        <v>30</v>
      </c>
      <c r="X5" s="13" t="s">
        <v>31</v>
      </c>
      <c r="Y5" s="13" t="s">
        <v>32</v>
      </c>
      <c r="Z5" s="13" t="s">
        <v>33</v>
      </c>
      <c r="AA5" s="13" t="s">
        <v>34</v>
      </c>
      <c r="AB5" s="13" t="s">
        <v>35</v>
      </c>
      <c r="AC5" s="13" t="s">
        <v>36</v>
      </c>
      <c r="AD5" s="13" t="s">
        <v>37</v>
      </c>
      <c r="AE5" s="13"/>
      <c r="AF5" s="13"/>
      <c r="AG5" s="13"/>
      <c r="AH5" s="13"/>
      <c r="AI5" s="13"/>
      <c r="AJ5" s="13"/>
    </row>
    <row r="6">
      <c r="A6" s="12"/>
      <c r="AE6" s="14" t="s">
        <v>38</v>
      </c>
      <c r="AF6" s="15" t="s">
        <v>39</v>
      </c>
      <c r="AG6" s="16" t="s">
        <v>40</v>
      </c>
      <c r="AH6" s="17" t="s">
        <v>41</v>
      </c>
      <c r="AI6" s="18" t="s">
        <v>42</v>
      </c>
    </row>
    <row r="7">
      <c r="A7" s="19" t="s">
        <v>43</v>
      </c>
      <c r="B7" s="20" t="s">
        <v>44</v>
      </c>
      <c r="C7" s="20" t="s">
        <v>44</v>
      </c>
      <c r="D7" s="20" t="s">
        <v>44</v>
      </c>
      <c r="E7" s="20" t="s">
        <v>44</v>
      </c>
      <c r="F7" s="20" t="s">
        <v>44</v>
      </c>
      <c r="G7" s="20" t="s">
        <v>44</v>
      </c>
      <c r="H7" s="20" t="s">
        <v>44</v>
      </c>
      <c r="I7" s="20" t="s">
        <v>40</v>
      </c>
      <c r="J7" s="20" t="s">
        <v>38</v>
      </c>
      <c r="K7" s="20" t="s">
        <v>38</v>
      </c>
      <c r="L7" s="20" t="s">
        <v>38</v>
      </c>
      <c r="M7" s="20" t="s">
        <v>40</v>
      </c>
      <c r="N7" s="20" t="s">
        <v>40</v>
      </c>
      <c r="O7" s="20" t="s">
        <v>39</v>
      </c>
      <c r="P7" s="20" t="s">
        <v>39</v>
      </c>
      <c r="Q7" s="20" t="s">
        <v>40</v>
      </c>
      <c r="R7" s="20" t="s">
        <v>38</v>
      </c>
      <c r="S7" s="20" t="s">
        <v>40</v>
      </c>
      <c r="T7" s="20" t="s">
        <v>38</v>
      </c>
      <c r="U7" s="20" t="s">
        <v>38</v>
      </c>
      <c r="V7" s="20" t="s">
        <v>40</v>
      </c>
      <c r="W7" s="21" t="s">
        <v>40</v>
      </c>
      <c r="X7" s="21" t="s">
        <v>38</v>
      </c>
      <c r="Y7" s="21" t="s">
        <v>38</v>
      </c>
      <c r="Z7" s="21" t="s">
        <v>38</v>
      </c>
      <c r="AA7" s="21" t="s">
        <v>40</v>
      </c>
      <c r="AB7" s="21" t="s">
        <v>40</v>
      </c>
      <c r="AC7" s="21" t="s">
        <v>38</v>
      </c>
      <c r="AD7" s="21"/>
      <c r="AE7" s="22">
        <f t="shared" ref="AE7:AE10" si="1">COUNTIF(B7:AC7,"D")</f>
        <v>10</v>
      </c>
      <c r="AF7" s="22">
        <f t="shared" ref="AF7:AF10" si="2">COUNTIF(B7:AC7,"N")</f>
        <v>2</v>
      </c>
      <c r="AG7" s="22">
        <f t="shared" ref="AG7:AG10" si="3">COUNTIF(B7:AC7,"X")</f>
        <v>9</v>
      </c>
      <c r="AH7" s="22">
        <f t="shared" ref="AH7:AH10" si="4">COUNTIF(B7:AC7,"INT")</f>
        <v>0</v>
      </c>
      <c r="AI7" s="22">
        <f t="shared" ref="AI7:AI10" si="5">SUM(AE7+AF7+AH7)</f>
        <v>12</v>
      </c>
    </row>
    <row r="8">
      <c r="A8" s="13" t="s">
        <v>45</v>
      </c>
      <c r="B8" s="20" t="s">
        <v>38</v>
      </c>
      <c r="C8" s="20" t="s">
        <v>38</v>
      </c>
      <c r="D8" s="20" t="s">
        <v>40</v>
      </c>
      <c r="E8" s="20" t="s">
        <v>39</v>
      </c>
      <c r="F8" s="20" t="s">
        <v>39</v>
      </c>
      <c r="G8" s="20" t="s">
        <v>40</v>
      </c>
      <c r="H8" s="20" t="s">
        <v>40</v>
      </c>
      <c r="I8" s="20" t="s">
        <v>38</v>
      </c>
      <c r="J8" s="20" t="s">
        <v>40</v>
      </c>
      <c r="K8" s="20" t="s">
        <v>46</v>
      </c>
      <c r="L8" s="20" t="s">
        <v>40</v>
      </c>
      <c r="M8" s="20" t="s">
        <v>39</v>
      </c>
      <c r="N8" s="20" t="s">
        <v>39</v>
      </c>
      <c r="O8" s="20" t="s">
        <v>40</v>
      </c>
      <c r="P8" s="20" t="s">
        <v>40</v>
      </c>
      <c r="Q8" s="20" t="s">
        <v>38</v>
      </c>
      <c r="R8" s="20" t="s">
        <v>46</v>
      </c>
      <c r="S8" s="20" t="s">
        <v>38</v>
      </c>
      <c r="T8" s="20" t="s">
        <v>40</v>
      </c>
      <c r="U8" s="20" t="s">
        <v>40</v>
      </c>
      <c r="V8" s="20" t="s">
        <v>39</v>
      </c>
      <c r="W8" s="20" t="s">
        <v>39</v>
      </c>
      <c r="X8" s="20" t="s">
        <v>40</v>
      </c>
      <c r="Y8" s="20" t="s">
        <v>40</v>
      </c>
      <c r="Z8" s="20" t="s">
        <v>40</v>
      </c>
      <c r="AA8" s="20" t="s">
        <v>38</v>
      </c>
      <c r="AB8" s="20" t="s">
        <v>40</v>
      </c>
      <c r="AC8" s="20" t="s">
        <v>39</v>
      </c>
      <c r="AD8" s="20"/>
      <c r="AE8" s="22">
        <f t="shared" si="1"/>
        <v>6</v>
      </c>
      <c r="AF8" s="22">
        <f t="shared" si="2"/>
        <v>7</v>
      </c>
      <c r="AG8" s="22">
        <f t="shared" si="3"/>
        <v>13</v>
      </c>
      <c r="AH8" s="22">
        <f t="shared" si="4"/>
        <v>0</v>
      </c>
      <c r="AI8" s="22">
        <f t="shared" si="5"/>
        <v>13</v>
      </c>
    </row>
    <row r="9">
      <c r="A9" s="13" t="s">
        <v>47</v>
      </c>
      <c r="B9" s="20" t="s">
        <v>40</v>
      </c>
      <c r="C9" s="20" t="s">
        <v>39</v>
      </c>
      <c r="D9" s="20" t="s">
        <v>39</v>
      </c>
      <c r="E9" s="20" t="s">
        <v>40</v>
      </c>
      <c r="F9" s="20" t="s">
        <v>38</v>
      </c>
      <c r="G9" s="20" t="s">
        <v>38</v>
      </c>
      <c r="H9" s="20" t="s">
        <v>38</v>
      </c>
      <c r="I9" s="21" t="s">
        <v>40</v>
      </c>
      <c r="J9" s="21" t="s">
        <v>39</v>
      </c>
      <c r="K9" s="21" t="s">
        <v>39</v>
      </c>
      <c r="L9" s="21" t="s">
        <v>39</v>
      </c>
      <c r="M9" s="21" t="s">
        <v>40</v>
      </c>
      <c r="N9" s="21" t="s">
        <v>40</v>
      </c>
      <c r="O9" s="21" t="s">
        <v>38</v>
      </c>
      <c r="P9" s="20" t="s">
        <v>38</v>
      </c>
      <c r="Q9" s="20" t="s">
        <v>40</v>
      </c>
      <c r="R9" s="20" t="s">
        <v>40</v>
      </c>
      <c r="S9" s="20" t="s">
        <v>40</v>
      </c>
      <c r="T9" s="20" t="s">
        <v>39</v>
      </c>
      <c r="U9" s="20" t="s">
        <v>39</v>
      </c>
      <c r="V9" s="20" t="s">
        <v>40</v>
      </c>
      <c r="W9" s="20" t="s">
        <v>40</v>
      </c>
      <c r="X9" s="20" t="s">
        <v>39</v>
      </c>
      <c r="Y9" s="20" t="s">
        <v>39</v>
      </c>
      <c r="Z9" s="20" t="s">
        <v>39</v>
      </c>
      <c r="AA9" s="20" t="s">
        <v>40</v>
      </c>
      <c r="AB9" s="20" t="s">
        <v>40</v>
      </c>
      <c r="AC9" s="20" t="s">
        <v>40</v>
      </c>
      <c r="AD9" s="20"/>
      <c r="AE9" s="22">
        <f t="shared" si="1"/>
        <v>5</v>
      </c>
      <c r="AF9" s="22">
        <f t="shared" si="2"/>
        <v>10</v>
      </c>
      <c r="AG9" s="22">
        <f t="shared" si="3"/>
        <v>13</v>
      </c>
      <c r="AH9" s="22">
        <f t="shared" si="4"/>
        <v>0</v>
      </c>
      <c r="AI9" s="22">
        <f t="shared" si="5"/>
        <v>15</v>
      </c>
    </row>
    <row r="10">
      <c r="A10" s="13" t="s">
        <v>48</v>
      </c>
      <c r="B10" s="20" t="s">
        <v>39</v>
      </c>
      <c r="C10" s="20" t="s">
        <v>40</v>
      </c>
      <c r="D10" s="20" t="s">
        <v>38</v>
      </c>
      <c r="E10" s="20" t="s">
        <v>38</v>
      </c>
      <c r="F10" s="20" t="s">
        <v>40</v>
      </c>
      <c r="G10" s="20" t="s">
        <v>39</v>
      </c>
      <c r="H10" s="20" t="s">
        <v>39</v>
      </c>
      <c r="I10" s="20" t="s">
        <v>39</v>
      </c>
      <c r="J10" s="20" t="s">
        <v>40</v>
      </c>
      <c r="K10" s="20" t="s">
        <v>40</v>
      </c>
      <c r="L10" s="20" t="s">
        <v>40</v>
      </c>
      <c r="M10" s="20" t="s">
        <v>38</v>
      </c>
      <c r="N10" s="20" t="s">
        <v>38</v>
      </c>
      <c r="O10" s="20" t="s">
        <v>40</v>
      </c>
      <c r="P10" s="21" t="s">
        <v>40</v>
      </c>
      <c r="Q10" s="21" t="s">
        <v>39</v>
      </c>
      <c r="R10" s="21" t="s">
        <v>39</v>
      </c>
      <c r="S10" s="21" t="s">
        <v>39</v>
      </c>
      <c r="T10" s="21" t="s">
        <v>40</v>
      </c>
      <c r="U10" s="21" t="s">
        <v>40</v>
      </c>
      <c r="V10" s="21" t="s">
        <v>38</v>
      </c>
      <c r="W10" s="20" t="s">
        <v>38</v>
      </c>
      <c r="X10" s="20" t="s">
        <v>40</v>
      </c>
      <c r="Y10" s="20" t="s">
        <v>46</v>
      </c>
      <c r="Z10" s="20" t="s">
        <v>40</v>
      </c>
      <c r="AA10" s="20" t="s">
        <v>39</v>
      </c>
      <c r="AB10" s="20" t="s">
        <v>39</v>
      </c>
      <c r="AC10" s="20" t="s">
        <v>40</v>
      </c>
      <c r="AD10" s="20"/>
      <c r="AE10" s="22">
        <f t="shared" si="1"/>
        <v>6</v>
      </c>
      <c r="AF10" s="22">
        <f t="shared" si="2"/>
        <v>9</v>
      </c>
      <c r="AG10" s="22">
        <f t="shared" si="3"/>
        <v>12</v>
      </c>
      <c r="AH10" s="22">
        <f t="shared" si="4"/>
        <v>0</v>
      </c>
      <c r="AI10" s="22">
        <f t="shared" si="5"/>
        <v>15</v>
      </c>
    </row>
    <row r="11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1"/>
      <c r="X11" s="22"/>
      <c r="Y11" s="22"/>
      <c r="Z11" s="22"/>
      <c r="AA11" s="22"/>
      <c r="AB11" s="22"/>
      <c r="AC11" s="22"/>
    </row>
    <row r="12">
      <c r="A12" s="23" t="s">
        <v>49</v>
      </c>
      <c r="B12" s="24">
        <f t="shared" ref="B12:AC12" si="6">COUNTIF(B7:B10,"D")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1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1</v>
      </c>
      <c r="AB12" s="24">
        <f t="shared" si="6"/>
        <v>0</v>
      </c>
      <c r="AC12" s="24">
        <f t="shared" si="6"/>
        <v>1</v>
      </c>
      <c r="AD12" s="25"/>
    </row>
    <row r="13">
      <c r="A13" s="26" t="s">
        <v>50</v>
      </c>
      <c r="B13" s="27">
        <f t="shared" ref="B13:AC13" si="7">COUNTIF(B7:B10,"N")</f>
        <v>1</v>
      </c>
      <c r="C13" s="27">
        <f t="shared" si="7"/>
        <v>1</v>
      </c>
      <c r="D13" s="27">
        <f t="shared" si="7"/>
        <v>1</v>
      </c>
      <c r="E13" s="27">
        <f t="shared" si="7"/>
        <v>1</v>
      </c>
      <c r="F13" s="27">
        <f t="shared" si="7"/>
        <v>1</v>
      </c>
      <c r="G13" s="27">
        <f t="shared" si="7"/>
        <v>1</v>
      </c>
      <c r="H13" s="27">
        <f t="shared" si="7"/>
        <v>1</v>
      </c>
      <c r="I13" s="27">
        <f t="shared" si="7"/>
        <v>1</v>
      </c>
      <c r="J13" s="27">
        <f t="shared" si="7"/>
        <v>1</v>
      </c>
      <c r="K13" s="27">
        <f t="shared" si="7"/>
        <v>1</v>
      </c>
      <c r="L13" s="27">
        <f t="shared" si="7"/>
        <v>1</v>
      </c>
      <c r="M13" s="27">
        <f t="shared" si="7"/>
        <v>1</v>
      </c>
      <c r="N13" s="27">
        <f t="shared" si="7"/>
        <v>1</v>
      </c>
      <c r="O13" s="27">
        <f t="shared" si="7"/>
        <v>1</v>
      </c>
      <c r="P13" s="27">
        <f t="shared" si="7"/>
        <v>1</v>
      </c>
      <c r="Q13" s="27">
        <f t="shared" si="7"/>
        <v>1</v>
      </c>
      <c r="R13" s="27">
        <f t="shared" si="7"/>
        <v>1</v>
      </c>
      <c r="S13" s="27">
        <f t="shared" si="7"/>
        <v>1</v>
      </c>
      <c r="T13" s="27">
        <f t="shared" si="7"/>
        <v>1</v>
      </c>
      <c r="U13" s="27">
        <f t="shared" si="7"/>
        <v>1</v>
      </c>
      <c r="V13" s="27">
        <f t="shared" si="7"/>
        <v>1</v>
      </c>
      <c r="W13" s="27">
        <f t="shared" si="7"/>
        <v>1</v>
      </c>
      <c r="X13" s="27">
        <f t="shared" si="7"/>
        <v>1</v>
      </c>
      <c r="Y13" s="27">
        <f t="shared" si="7"/>
        <v>1</v>
      </c>
      <c r="Z13" s="27">
        <f t="shared" si="7"/>
        <v>1</v>
      </c>
      <c r="AA13" s="27">
        <f t="shared" si="7"/>
        <v>1</v>
      </c>
      <c r="AB13" s="27">
        <f t="shared" si="7"/>
        <v>1</v>
      </c>
      <c r="AC13" s="27">
        <f t="shared" si="7"/>
        <v>1</v>
      </c>
      <c r="AD13" s="25"/>
    </row>
    <row r="14">
      <c r="I14" s="28"/>
      <c r="J14" s="28"/>
      <c r="K14" s="28"/>
      <c r="L14" s="28"/>
      <c r="M14" s="28"/>
      <c r="N14" s="28"/>
      <c r="O14" s="28"/>
    </row>
    <row r="15">
      <c r="E15" s="29" t="s">
        <v>51</v>
      </c>
      <c r="F15" s="30"/>
      <c r="G15" s="30"/>
      <c r="H15" s="31"/>
      <c r="I15" s="32"/>
      <c r="J15" s="28"/>
      <c r="K15" s="28"/>
      <c r="L15" s="28"/>
      <c r="M15" s="28"/>
      <c r="N15" s="28"/>
      <c r="O15" s="28"/>
    </row>
    <row r="16">
      <c r="E16" s="33" t="s">
        <v>38</v>
      </c>
      <c r="F16" s="1" t="s">
        <v>52</v>
      </c>
      <c r="H16" s="34"/>
      <c r="I16" s="28"/>
      <c r="J16" s="28"/>
      <c r="K16" s="28"/>
      <c r="L16" s="28"/>
      <c r="M16" s="28"/>
      <c r="N16" s="28"/>
      <c r="O16" s="28"/>
    </row>
    <row r="17">
      <c r="E17" s="33" t="s">
        <v>39</v>
      </c>
      <c r="F17" s="1" t="s">
        <v>53</v>
      </c>
      <c r="H17" s="34"/>
    </row>
    <row r="18">
      <c r="E18" s="33" t="s">
        <v>41</v>
      </c>
      <c r="F18" s="1" t="s">
        <v>54</v>
      </c>
      <c r="H18" s="34"/>
    </row>
    <row r="19">
      <c r="E19" s="33" t="s">
        <v>55</v>
      </c>
      <c r="F19" s="1" t="s">
        <v>56</v>
      </c>
      <c r="H19" s="34"/>
    </row>
    <row r="20">
      <c r="E20" s="33" t="s">
        <v>40</v>
      </c>
      <c r="F20" s="1" t="s">
        <v>57</v>
      </c>
      <c r="H20" s="34"/>
    </row>
    <row r="21">
      <c r="E21" s="33" t="s">
        <v>58</v>
      </c>
      <c r="F21" s="1" t="s">
        <v>59</v>
      </c>
      <c r="H21" s="34"/>
      <c r="I21" s="20"/>
      <c r="J21" s="20"/>
      <c r="K21" s="21"/>
      <c r="L21" s="21"/>
      <c r="M21" s="21"/>
      <c r="N21" s="21"/>
      <c r="O21" s="21"/>
      <c r="P21" s="21"/>
      <c r="Q21" s="21"/>
    </row>
    <row r="22">
      <c r="E22" s="33" t="s">
        <v>60</v>
      </c>
      <c r="F22" s="1" t="s">
        <v>61</v>
      </c>
      <c r="H22" s="34"/>
      <c r="I22" s="20"/>
      <c r="J22" s="20"/>
      <c r="K22" s="20"/>
      <c r="L22" s="20"/>
      <c r="M22" s="20"/>
      <c r="N22" s="20"/>
      <c r="O22" s="20"/>
      <c r="P22" s="20"/>
      <c r="Q22" s="20"/>
    </row>
    <row r="23">
      <c r="E23" s="33" t="s">
        <v>44</v>
      </c>
      <c r="F23" s="1" t="s">
        <v>62</v>
      </c>
      <c r="H23" s="34"/>
      <c r="I23" s="20"/>
      <c r="J23" s="20"/>
      <c r="K23" s="20"/>
      <c r="L23" s="20"/>
      <c r="M23" s="20"/>
      <c r="N23" s="20"/>
      <c r="O23" s="20"/>
      <c r="P23" s="20"/>
      <c r="Q23" s="20"/>
    </row>
    <row r="24">
      <c r="E24" s="33" t="s">
        <v>63</v>
      </c>
      <c r="F24" s="1" t="s">
        <v>64</v>
      </c>
      <c r="H24" s="34"/>
      <c r="K24" s="20"/>
      <c r="L24" s="20"/>
      <c r="M24" s="20"/>
      <c r="N24" s="20"/>
      <c r="O24" s="20"/>
      <c r="P24" s="20"/>
      <c r="Q24" s="20"/>
    </row>
    <row r="25">
      <c r="E25" s="33" t="s">
        <v>65</v>
      </c>
      <c r="F25" s="1" t="s">
        <v>66</v>
      </c>
      <c r="H25" s="34"/>
    </row>
    <row r="26">
      <c r="E26" s="33" t="s">
        <v>46</v>
      </c>
      <c r="F26" s="1" t="s">
        <v>67</v>
      </c>
      <c r="H26" s="34"/>
    </row>
    <row r="27">
      <c r="E27" s="35" t="s">
        <v>68</v>
      </c>
      <c r="F27" s="36" t="s">
        <v>69</v>
      </c>
      <c r="G27" s="8"/>
      <c r="H27" s="37"/>
    </row>
    <row r="30">
      <c r="A30" s="6"/>
      <c r="B30" s="38" t="s">
        <v>2</v>
      </c>
      <c r="C30" s="9" t="s">
        <v>3</v>
      </c>
      <c r="D30" s="9" t="s">
        <v>4</v>
      </c>
      <c r="E30" s="9" t="s">
        <v>5</v>
      </c>
      <c r="F30" s="9" t="s">
        <v>6</v>
      </c>
      <c r="G30" s="9" t="s">
        <v>7</v>
      </c>
      <c r="H30" s="9" t="s">
        <v>8</v>
      </c>
    </row>
    <row r="31">
      <c r="A31" s="12"/>
      <c r="B31" s="13" t="s">
        <v>33</v>
      </c>
      <c r="C31" s="13" t="s">
        <v>34</v>
      </c>
      <c r="D31" s="13" t="s">
        <v>35</v>
      </c>
      <c r="E31" s="13" t="s">
        <v>36</v>
      </c>
      <c r="F31" s="13" t="s">
        <v>37</v>
      </c>
      <c r="G31" s="13" t="s">
        <v>70</v>
      </c>
      <c r="H31" s="13" t="s">
        <v>71</v>
      </c>
    </row>
    <row r="32">
      <c r="A32" s="39" t="s">
        <v>43</v>
      </c>
      <c r="B32" s="20" t="s">
        <v>38</v>
      </c>
      <c r="C32" s="20" t="s">
        <v>38</v>
      </c>
      <c r="D32" s="20" t="s">
        <v>38</v>
      </c>
      <c r="E32" s="20" t="s">
        <v>40</v>
      </c>
      <c r="F32" s="20" t="s">
        <v>40</v>
      </c>
      <c r="G32" s="20" t="s">
        <v>38</v>
      </c>
      <c r="H32" s="20" t="s">
        <v>38</v>
      </c>
    </row>
    <row r="33">
      <c r="A33" s="13" t="s">
        <v>45</v>
      </c>
      <c r="B33" s="20" t="s">
        <v>58</v>
      </c>
      <c r="C33" s="20" t="s">
        <v>58</v>
      </c>
      <c r="D33" s="20" t="s">
        <v>58</v>
      </c>
      <c r="E33" s="20" t="s">
        <v>39</v>
      </c>
      <c r="F33" s="20" t="s">
        <v>39</v>
      </c>
      <c r="G33" s="20" t="s">
        <v>40</v>
      </c>
      <c r="H33" s="20" t="s">
        <v>40</v>
      </c>
    </row>
    <row r="34">
      <c r="A34" s="13" t="s">
        <v>47</v>
      </c>
      <c r="B34" s="20" t="s">
        <v>58</v>
      </c>
      <c r="C34" s="20" t="s">
        <v>58</v>
      </c>
      <c r="D34" s="20" t="s">
        <v>58</v>
      </c>
      <c r="E34" s="40" t="s">
        <v>38</v>
      </c>
      <c r="F34" s="40" t="s">
        <v>38</v>
      </c>
      <c r="G34" s="41" t="s">
        <v>40</v>
      </c>
      <c r="H34" s="41" t="s">
        <v>40</v>
      </c>
    </row>
    <row r="35">
      <c r="A35" s="13" t="s">
        <v>48</v>
      </c>
      <c r="B35" s="20" t="s">
        <v>58</v>
      </c>
      <c r="C35" s="20" t="s">
        <v>58</v>
      </c>
      <c r="D35" s="20" t="s">
        <v>58</v>
      </c>
      <c r="E35" s="20" t="s">
        <v>40</v>
      </c>
      <c r="F35" s="20" t="s">
        <v>40</v>
      </c>
      <c r="G35" s="20" t="s">
        <v>39</v>
      </c>
      <c r="H35" s="20" t="s">
        <v>39</v>
      </c>
    </row>
  </sheetData>
  <mergeCells count="14">
    <mergeCell ref="F21:H21"/>
    <mergeCell ref="F22:H22"/>
    <mergeCell ref="F23:H23"/>
    <mergeCell ref="F24:H24"/>
    <mergeCell ref="F25:H25"/>
    <mergeCell ref="F26:H26"/>
    <mergeCell ref="F27:H27"/>
    <mergeCell ref="B1:AC3"/>
    <mergeCell ref="E15:H15"/>
    <mergeCell ref="F16:H16"/>
    <mergeCell ref="F17:H17"/>
    <mergeCell ref="F18:H18"/>
    <mergeCell ref="F19:H19"/>
    <mergeCell ref="F20:H20"/>
  </mergeCells>
  <conditionalFormatting sqref="B7:AD10 E16:E27 I21:J23 K21:Q24 B32:H35 G37:J37">
    <cfRule type="cellIs" dxfId="0" priority="1" operator="equal">
      <formula>"X"</formula>
    </cfRule>
  </conditionalFormatting>
  <conditionalFormatting sqref="B7:AD10 E16:E27 I21:J23 K21:Q24 B32:H35 G37:J37">
    <cfRule type="cellIs" dxfId="1" priority="2" operator="equal">
      <formula>"D"</formula>
    </cfRule>
  </conditionalFormatting>
  <conditionalFormatting sqref="B7:AD10 E16:E27 I21:J23 K21:Q24 B32:H35 G37:J37">
    <cfRule type="cellIs" dxfId="2" priority="3" operator="equal">
      <formula>"N"</formula>
    </cfRule>
  </conditionalFormatting>
  <conditionalFormatting sqref="B7:AD10 E16:E27 I21:J23 K21:Q24 B32:H35 G37:J37">
    <cfRule type="cellIs" dxfId="3" priority="4" operator="equal">
      <formula>"OB"</formula>
    </cfRule>
  </conditionalFormatting>
  <conditionalFormatting sqref="B7:AD10 E16:E27 I21:J23 K21:Q24 B32:H35 G37:J37">
    <cfRule type="cellIs" dxfId="0" priority="5" operator="equal">
      <formula>"C"</formula>
    </cfRule>
  </conditionalFormatting>
  <conditionalFormatting sqref="B7:AD10 E16:E27 I21:J23 K21:Q24 B32:H35 G37:J37">
    <cfRule type="cellIs" dxfId="0" priority="6" operator="equal">
      <formula>"AL"</formula>
    </cfRule>
  </conditionalFormatting>
  <conditionalFormatting sqref="B7:AD10 E16:E27 I21:J23 K21:Q24 B32:H35 G37:J37">
    <cfRule type="cellIs" dxfId="4" priority="7" operator="equal">
      <formula>"UP"</formula>
    </cfRule>
  </conditionalFormatting>
  <conditionalFormatting sqref="B7:AD10 E16:E27 I21:J23 K21:Q24 B32:H35 G37:J37">
    <cfRule type="cellIs" dxfId="0" priority="8" operator="equal">
      <formula>"S"</formula>
    </cfRule>
  </conditionalFormatting>
  <conditionalFormatting sqref="B7:AD10 E16:E27 I21:J23 K21:Q24 B32:H35 G37:J37">
    <cfRule type="cellIs" dxfId="5" priority="9" operator="equal">
      <formula>"OC"</formula>
    </cfRule>
  </conditionalFormatting>
  <conditionalFormatting sqref="B7:AD10 E16:E27 I21:J23 K21:Q24 B32:H35 G37:J37">
    <cfRule type="cellIs" dxfId="6" priority="10" operator="equal">
      <formula>"SPV"</formula>
    </cfRule>
  </conditionalFormatting>
  <conditionalFormatting sqref="B7:AD10 E16:E27 I21:J23 K21:Q24 B32:H35 G37:J37">
    <cfRule type="cellIs" dxfId="7" priority="11" operator="equal">
      <formula>"INT"</formula>
    </cfRule>
  </conditionalFormatting>
  <conditionalFormatting sqref="B7:AD10">
    <cfRule type="cellIs" dxfId="8" priority="12" operator="equal">
      <formula>"T"</formula>
    </cfRule>
  </conditionalFormatting>
  <conditionalFormatting sqref="E26">
    <cfRule type="cellIs" dxfId="9" priority="13" operator="equal">
      <formula>"T"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</cols>
  <sheetData>
    <row r="1">
      <c r="A1" s="1" t="s">
        <v>0</v>
      </c>
      <c r="B1" s="2" t="s">
        <v>72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</row>
    <row r="2">
      <c r="B2" s="5"/>
      <c r="AD2" s="4"/>
      <c r="AE2" s="4"/>
      <c r="AF2" s="4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</row>
    <row r="5">
      <c r="A5" s="12"/>
      <c r="B5" s="13" t="s">
        <v>37</v>
      </c>
      <c r="C5" s="13" t="s">
        <v>71</v>
      </c>
      <c r="D5" s="13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19</v>
      </c>
      <c r="O5" s="13" t="s">
        <v>20</v>
      </c>
      <c r="P5" s="13" t="s">
        <v>21</v>
      </c>
      <c r="Q5" s="13" t="s">
        <v>22</v>
      </c>
      <c r="R5" s="13" t="s">
        <v>23</v>
      </c>
      <c r="S5" s="13" t="s">
        <v>24</v>
      </c>
      <c r="T5" s="13" t="s">
        <v>25</v>
      </c>
      <c r="U5" s="13" t="s">
        <v>26</v>
      </c>
      <c r="V5" s="13" t="s">
        <v>27</v>
      </c>
      <c r="W5" s="13" t="s">
        <v>28</v>
      </c>
      <c r="X5" s="13" t="s">
        <v>29</v>
      </c>
      <c r="Y5" s="13" t="s">
        <v>30</v>
      </c>
      <c r="Z5" s="13" t="s">
        <v>31</v>
      </c>
      <c r="AA5" s="13" t="s">
        <v>32</v>
      </c>
      <c r="AB5" s="13" t="s">
        <v>33</v>
      </c>
      <c r="AC5" s="13" t="s">
        <v>34</v>
      </c>
      <c r="AD5" s="13"/>
      <c r="AE5" s="13"/>
      <c r="AF5" s="13"/>
      <c r="AG5" s="13"/>
      <c r="AH5" s="13"/>
      <c r="AI5" s="13"/>
      <c r="AJ5" s="13"/>
      <c r="AK5" s="13"/>
    </row>
    <row r="6">
      <c r="A6" s="12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</row>
    <row r="7">
      <c r="A7" s="19" t="s">
        <v>43</v>
      </c>
      <c r="B7" s="20" t="s">
        <v>40</v>
      </c>
      <c r="C7" s="20" t="s">
        <v>40</v>
      </c>
      <c r="D7" s="20" t="s">
        <v>39</v>
      </c>
      <c r="E7" s="20" t="s">
        <v>39</v>
      </c>
      <c r="F7" s="20" t="s">
        <v>39</v>
      </c>
      <c r="G7" s="20" t="s">
        <v>40</v>
      </c>
      <c r="H7" s="20" t="s">
        <v>40</v>
      </c>
      <c r="I7" s="20" t="s">
        <v>41</v>
      </c>
      <c r="J7" s="20" t="s">
        <v>38</v>
      </c>
      <c r="K7" s="20" t="s">
        <v>41</v>
      </c>
      <c r="L7" s="20" t="s">
        <v>41</v>
      </c>
      <c r="M7" s="20" t="s">
        <v>41</v>
      </c>
      <c r="N7" s="20" t="s">
        <v>68</v>
      </c>
      <c r="O7" s="20" t="s">
        <v>68</v>
      </c>
      <c r="P7" s="20" t="s">
        <v>40</v>
      </c>
      <c r="Q7" s="20" t="s">
        <v>40</v>
      </c>
      <c r="R7" s="20" t="s">
        <v>38</v>
      </c>
      <c r="S7" s="20" t="s">
        <v>38</v>
      </c>
      <c r="T7" s="20" t="s">
        <v>40</v>
      </c>
      <c r="U7" s="20" t="s">
        <v>40</v>
      </c>
      <c r="V7" s="20" t="s">
        <v>40</v>
      </c>
      <c r="W7" s="20" t="s">
        <v>39</v>
      </c>
      <c r="X7" s="20" t="s">
        <v>39</v>
      </c>
      <c r="Y7" s="20" t="s">
        <v>40</v>
      </c>
      <c r="Z7" s="20" t="s">
        <v>40</v>
      </c>
      <c r="AA7" s="20" t="s">
        <v>40</v>
      </c>
      <c r="AB7" s="20" t="s">
        <v>38</v>
      </c>
      <c r="AC7" s="20" t="s">
        <v>38</v>
      </c>
      <c r="AG7" s="49">
        <f t="shared" ref="AG7:AG11" si="1">COUNTIF(B7:AE7,"D")</f>
        <v>5</v>
      </c>
      <c r="AH7" s="49">
        <f t="shared" ref="AH7:AH11" si="2">COUNTIF(B7:AE7,"N")</f>
        <v>5</v>
      </c>
      <c r="AI7" s="49">
        <f t="shared" ref="AI7:AI11" si="3">COUNTIF(B7:AE7,"X")</f>
        <v>12</v>
      </c>
      <c r="AJ7" s="49">
        <f t="shared" ref="AJ7:AJ11" si="4">COUNTIF(B7:AE7,"INT")</f>
        <v>4</v>
      </c>
      <c r="AK7" s="49">
        <f t="shared" ref="AK7:AK11" si="5">AG7+AH7+AJ7</f>
        <v>14</v>
      </c>
    </row>
    <row r="8">
      <c r="A8" s="13" t="s">
        <v>45</v>
      </c>
      <c r="B8" s="20" t="s">
        <v>39</v>
      </c>
      <c r="C8" s="20" t="s">
        <v>39</v>
      </c>
      <c r="D8" s="20" t="s">
        <v>40</v>
      </c>
      <c r="E8" s="20" t="s">
        <v>40</v>
      </c>
      <c r="F8" s="20" t="s">
        <v>40</v>
      </c>
      <c r="G8" s="20" t="s">
        <v>38</v>
      </c>
      <c r="H8" s="20" t="s">
        <v>38</v>
      </c>
      <c r="I8" s="20" t="s">
        <v>38</v>
      </c>
      <c r="J8" s="20" t="s">
        <v>40</v>
      </c>
      <c r="K8" s="20" t="s">
        <v>38</v>
      </c>
      <c r="L8" s="20" t="s">
        <v>40</v>
      </c>
      <c r="M8" s="20" t="s">
        <v>39</v>
      </c>
      <c r="N8" s="20" t="s">
        <v>40</v>
      </c>
      <c r="O8" s="20" t="s">
        <v>40</v>
      </c>
      <c r="P8" s="20" t="s">
        <v>41</v>
      </c>
      <c r="Q8" s="20" t="s">
        <v>41</v>
      </c>
      <c r="R8" s="20" t="s">
        <v>41</v>
      </c>
      <c r="S8" s="20" t="s">
        <v>41</v>
      </c>
      <c r="T8" s="20" t="s">
        <v>41</v>
      </c>
      <c r="U8" s="20" t="s">
        <v>68</v>
      </c>
      <c r="V8" s="20" t="s">
        <v>68</v>
      </c>
      <c r="W8" s="20" t="s">
        <v>38</v>
      </c>
      <c r="X8" s="20" t="s">
        <v>38</v>
      </c>
      <c r="Y8" s="20" t="s">
        <v>40</v>
      </c>
      <c r="Z8" s="20" t="s">
        <v>40</v>
      </c>
      <c r="AA8" s="20" t="s">
        <v>40</v>
      </c>
      <c r="AB8" s="20" t="s">
        <v>65</v>
      </c>
      <c r="AC8" s="20" t="s">
        <v>65</v>
      </c>
      <c r="AG8" s="49">
        <f t="shared" si="1"/>
        <v>6</v>
      </c>
      <c r="AH8" s="49">
        <f t="shared" si="2"/>
        <v>3</v>
      </c>
      <c r="AI8" s="49">
        <f t="shared" si="3"/>
        <v>10</v>
      </c>
      <c r="AJ8" s="49">
        <f t="shared" si="4"/>
        <v>5</v>
      </c>
      <c r="AK8" s="49">
        <f t="shared" si="5"/>
        <v>14</v>
      </c>
    </row>
    <row r="9">
      <c r="A9" s="13" t="s">
        <v>47</v>
      </c>
      <c r="B9" s="50" t="s">
        <v>41</v>
      </c>
      <c r="C9" s="50" t="s">
        <v>41</v>
      </c>
      <c r="D9" s="50" t="s">
        <v>41</v>
      </c>
      <c r="E9" s="50" t="s">
        <v>41</v>
      </c>
      <c r="F9" s="50" t="s">
        <v>41</v>
      </c>
      <c r="G9" s="51" t="s">
        <v>68</v>
      </c>
      <c r="H9" s="51" t="s">
        <v>68</v>
      </c>
      <c r="I9" s="20" t="s">
        <v>46</v>
      </c>
      <c r="J9" s="20" t="s">
        <v>46</v>
      </c>
      <c r="K9" s="20" t="s">
        <v>46</v>
      </c>
      <c r="L9" s="20" t="s">
        <v>38</v>
      </c>
      <c r="M9" s="20" t="s">
        <v>40</v>
      </c>
      <c r="N9" s="20" t="s">
        <v>39</v>
      </c>
      <c r="O9" s="21" t="s">
        <v>39</v>
      </c>
      <c r="P9" s="20" t="s">
        <v>39</v>
      </c>
      <c r="Q9" s="20" t="s">
        <v>40</v>
      </c>
      <c r="R9" s="20" t="s">
        <v>39</v>
      </c>
      <c r="S9" s="20" t="s">
        <v>40</v>
      </c>
      <c r="T9" s="20" t="s">
        <v>38</v>
      </c>
      <c r="U9" s="20" t="s">
        <v>38</v>
      </c>
      <c r="V9" s="20" t="s">
        <v>38</v>
      </c>
      <c r="W9" s="20" t="s">
        <v>40</v>
      </c>
      <c r="X9" s="20" t="s">
        <v>40</v>
      </c>
      <c r="Y9" s="20" t="s">
        <v>39</v>
      </c>
      <c r="Z9" s="20" t="s">
        <v>39</v>
      </c>
      <c r="AA9" s="20" t="s">
        <v>39</v>
      </c>
      <c r="AB9" s="20" t="s">
        <v>40</v>
      </c>
      <c r="AC9" s="20" t="s">
        <v>40</v>
      </c>
      <c r="AG9" s="49">
        <f t="shared" si="1"/>
        <v>4</v>
      </c>
      <c r="AH9" s="49">
        <f t="shared" si="2"/>
        <v>7</v>
      </c>
      <c r="AI9" s="49">
        <f t="shared" si="3"/>
        <v>7</v>
      </c>
      <c r="AJ9" s="49">
        <f t="shared" si="4"/>
        <v>5</v>
      </c>
      <c r="AK9" s="49">
        <f t="shared" si="5"/>
        <v>16</v>
      </c>
    </row>
    <row r="10">
      <c r="A10" s="13" t="s">
        <v>48</v>
      </c>
      <c r="B10" s="20" t="s">
        <v>40</v>
      </c>
      <c r="C10" s="20" t="s">
        <v>40</v>
      </c>
      <c r="D10" s="20" t="s">
        <v>46</v>
      </c>
      <c r="E10" s="20" t="s">
        <v>38</v>
      </c>
      <c r="F10" s="20" t="s">
        <v>38</v>
      </c>
      <c r="G10" s="20" t="s">
        <v>40</v>
      </c>
      <c r="H10" s="20" t="s">
        <v>40</v>
      </c>
      <c r="I10" s="20" t="s">
        <v>39</v>
      </c>
      <c r="J10" s="20" t="s">
        <v>39</v>
      </c>
      <c r="K10" s="20" t="s">
        <v>40</v>
      </c>
      <c r="L10" s="20" t="s">
        <v>40</v>
      </c>
      <c r="M10" s="20" t="s">
        <v>38</v>
      </c>
      <c r="N10" s="20" t="s">
        <v>38</v>
      </c>
      <c r="O10" s="20" t="s">
        <v>40</v>
      </c>
      <c r="P10" s="20" t="s">
        <v>40</v>
      </c>
      <c r="Q10" s="20" t="s">
        <v>39</v>
      </c>
      <c r="R10" s="20" t="s">
        <v>40</v>
      </c>
      <c r="S10" s="20" t="s">
        <v>39</v>
      </c>
      <c r="T10" s="20" t="s">
        <v>39</v>
      </c>
      <c r="U10" s="20" t="s">
        <v>40</v>
      </c>
      <c r="V10" s="20" t="s">
        <v>40</v>
      </c>
      <c r="W10" s="20" t="s">
        <v>40</v>
      </c>
      <c r="X10" s="20" t="s">
        <v>41</v>
      </c>
      <c r="Y10" s="20" t="s">
        <v>41</v>
      </c>
      <c r="Z10" s="20" t="s">
        <v>41</v>
      </c>
      <c r="AA10" s="20" t="s">
        <v>41</v>
      </c>
      <c r="AB10" s="20" t="s">
        <v>39</v>
      </c>
      <c r="AC10" s="20" t="s">
        <v>68</v>
      </c>
      <c r="AG10" s="49">
        <f t="shared" si="1"/>
        <v>4</v>
      </c>
      <c r="AH10" s="49">
        <f t="shared" si="2"/>
        <v>6</v>
      </c>
      <c r="AI10" s="49">
        <f t="shared" si="3"/>
        <v>12</v>
      </c>
      <c r="AJ10" s="49">
        <f t="shared" si="4"/>
        <v>4</v>
      </c>
      <c r="AK10" s="49">
        <f t="shared" si="5"/>
        <v>14</v>
      </c>
    </row>
    <row r="11">
      <c r="A11" s="13" t="s">
        <v>73</v>
      </c>
      <c r="B11" s="20" t="s">
        <v>38</v>
      </c>
      <c r="C11" s="20" t="s">
        <v>38</v>
      </c>
      <c r="D11" s="20" t="s">
        <v>38</v>
      </c>
      <c r="E11" s="20" t="s">
        <v>40</v>
      </c>
      <c r="F11" s="20" t="s">
        <v>40</v>
      </c>
      <c r="G11" s="20" t="s">
        <v>39</v>
      </c>
      <c r="H11" s="20" t="s">
        <v>39</v>
      </c>
      <c r="I11" s="20" t="s">
        <v>40</v>
      </c>
      <c r="J11" s="20" t="s">
        <v>40</v>
      </c>
      <c r="K11" s="20" t="s">
        <v>39</v>
      </c>
      <c r="L11" s="20" t="s">
        <v>39</v>
      </c>
      <c r="M11" s="20" t="s">
        <v>40</v>
      </c>
      <c r="N11" s="20" t="s">
        <v>40</v>
      </c>
      <c r="O11" s="20" t="s">
        <v>38</v>
      </c>
      <c r="P11" s="20" t="s">
        <v>38</v>
      </c>
      <c r="Q11" s="20" t="s">
        <v>38</v>
      </c>
      <c r="R11" s="20" t="s">
        <v>40</v>
      </c>
      <c r="S11" s="20" t="s">
        <v>40</v>
      </c>
      <c r="T11" s="20" t="s">
        <v>40</v>
      </c>
      <c r="U11" s="20" t="s">
        <v>39</v>
      </c>
      <c r="V11" s="20" t="s">
        <v>39</v>
      </c>
      <c r="W11" s="20" t="s">
        <v>40</v>
      </c>
      <c r="X11" s="20" t="s">
        <v>40</v>
      </c>
      <c r="Y11" s="20" t="s">
        <v>38</v>
      </c>
      <c r="Z11" s="20" t="s">
        <v>38</v>
      </c>
      <c r="AA11" s="20" t="s">
        <v>38</v>
      </c>
      <c r="AB11" s="20" t="s">
        <v>40</v>
      </c>
      <c r="AC11" s="20" t="s">
        <v>39</v>
      </c>
      <c r="AG11" s="49">
        <f t="shared" si="1"/>
        <v>9</v>
      </c>
      <c r="AH11" s="49">
        <f t="shared" si="2"/>
        <v>7</v>
      </c>
      <c r="AI11" s="49">
        <f t="shared" si="3"/>
        <v>12</v>
      </c>
      <c r="AJ11" s="49">
        <f t="shared" si="4"/>
        <v>0</v>
      </c>
      <c r="AK11" s="49">
        <f t="shared" si="5"/>
        <v>16</v>
      </c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 t="s">
        <v>49</v>
      </c>
      <c r="B13" s="24">
        <f t="shared" ref="B13:Y13" si="6">COUNTIF(B7:B10,"D")</f>
        <v>0</v>
      </c>
      <c r="C13" s="24">
        <f t="shared" si="6"/>
        <v>0</v>
      </c>
      <c r="D13" s="24">
        <f t="shared" si="6"/>
        <v>0</v>
      </c>
      <c r="E13" s="24">
        <f t="shared" si="6"/>
        <v>1</v>
      </c>
      <c r="F13" s="24">
        <f t="shared" si="6"/>
        <v>1</v>
      </c>
      <c r="G13" s="24">
        <f t="shared" si="6"/>
        <v>1</v>
      </c>
      <c r="H13" s="24">
        <f t="shared" si="6"/>
        <v>1</v>
      </c>
      <c r="I13" s="24">
        <f t="shared" si="6"/>
        <v>1</v>
      </c>
      <c r="J13" s="24">
        <f t="shared" si="6"/>
        <v>1</v>
      </c>
      <c r="K13" s="24">
        <f t="shared" si="6"/>
        <v>1</v>
      </c>
      <c r="L13" s="24">
        <f t="shared" si="6"/>
        <v>1</v>
      </c>
      <c r="M13" s="24">
        <f t="shared" si="6"/>
        <v>1</v>
      </c>
      <c r="N13" s="24">
        <f t="shared" si="6"/>
        <v>1</v>
      </c>
      <c r="O13" s="24">
        <f t="shared" si="6"/>
        <v>0</v>
      </c>
      <c r="P13" s="24">
        <f t="shared" si="6"/>
        <v>0</v>
      </c>
      <c r="Q13" s="24">
        <f t="shared" si="6"/>
        <v>0</v>
      </c>
      <c r="R13" s="24">
        <f t="shared" si="6"/>
        <v>1</v>
      </c>
      <c r="S13" s="24">
        <f t="shared" si="6"/>
        <v>1</v>
      </c>
      <c r="T13" s="24">
        <f t="shared" si="6"/>
        <v>1</v>
      </c>
      <c r="U13" s="24">
        <f t="shared" si="6"/>
        <v>1</v>
      </c>
      <c r="V13" s="24">
        <f t="shared" si="6"/>
        <v>1</v>
      </c>
      <c r="W13" s="24">
        <f t="shared" si="6"/>
        <v>1</v>
      </c>
      <c r="X13" s="24">
        <f t="shared" si="6"/>
        <v>1</v>
      </c>
      <c r="Y13" s="24">
        <f t="shared" si="6"/>
        <v>0</v>
      </c>
      <c r="Z13" s="52">
        <v>1.0</v>
      </c>
      <c r="AA13" s="24">
        <f t="shared" ref="AA13:AC13" si="7">COUNTIF(AA7:AA10,"D")</f>
        <v>0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COUNTIF(B7:B10,"N")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0</v>
      </c>
      <c r="H14" s="27">
        <f t="shared" si="8"/>
        <v>0</v>
      </c>
      <c r="I14" s="27">
        <f t="shared" si="8"/>
        <v>1</v>
      </c>
      <c r="J14" s="27">
        <f t="shared" si="8"/>
        <v>1</v>
      </c>
      <c r="K14" s="27">
        <f t="shared" si="8"/>
        <v>0</v>
      </c>
      <c r="L14" s="27">
        <f t="shared" si="8"/>
        <v>0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0</v>
      </c>
      <c r="V14" s="27">
        <f t="shared" si="8"/>
        <v>0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0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</row>
    <row r="16">
      <c r="A16" s="6"/>
      <c r="B16" s="38" t="s">
        <v>2</v>
      </c>
      <c r="C16" s="9" t="s">
        <v>3</v>
      </c>
      <c r="D16" s="9" t="s">
        <v>4</v>
      </c>
      <c r="E16" s="9" t="s">
        <v>5</v>
      </c>
      <c r="F16" s="9" t="s">
        <v>6</v>
      </c>
      <c r="G16" s="9" t="s">
        <v>7</v>
      </c>
      <c r="H16" s="9" t="s">
        <v>8</v>
      </c>
      <c r="I16" s="32"/>
      <c r="J16" s="28"/>
      <c r="K16" s="28"/>
      <c r="L16" s="28"/>
      <c r="M16" s="28"/>
      <c r="N16" s="29" t="s">
        <v>51</v>
      </c>
      <c r="O16" s="30"/>
      <c r="P16" s="30"/>
      <c r="Q16" s="31"/>
      <c r="AF16" s="22"/>
      <c r="AG16" s="22"/>
      <c r="AH16" s="22"/>
      <c r="AI16" s="22"/>
      <c r="AJ16" s="22"/>
      <c r="AK16" s="22"/>
    </row>
    <row r="17">
      <c r="A17" s="12"/>
      <c r="B17" s="13" t="s">
        <v>30</v>
      </c>
      <c r="C17" s="13" t="s">
        <v>31</v>
      </c>
      <c r="D17" s="13" t="s">
        <v>32</v>
      </c>
      <c r="E17" s="13" t="s">
        <v>33</v>
      </c>
      <c r="F17" s="13" t="s">
        <v>34</v>
      </c>
      <c r="G17" s="13" t="s">
        <v>35</v>
      </c>
      <c r="H17" s="13" t="s">
        <v>36</v>
      </c>
      <c r="I17" s="28"/>
      <c r="J17" s="28"/>
      <c r="K17" s="28"/>
      <c r="L17" s="28"/>
      <c r="M17" s="28"/>
      <c r="N17" s="33" t="s">
        <v>38</v>
      </c>
      <c r="O17" s="1" t="s">
        <v>52</v>
      </c>
      <c r="Q17" s="34"/>
      <c r="AF17" s="22"/>
      <c r="AG17" s="22"/>
      <c r="AH17" s="22"/>
      <c r="AI17" s="22"/>
      <c r="AJ17" s="22"/>
      <c r="AK17" s="22"/>
    </row>
    <row r="18">
      <c r="A18" s="39" t="s">
        <v>43</v>
      </c>
      <c r="B18" s="21" t="s">
        <v>40</v>
      </c>
      <c r="C18" s="21" t="s">
        <v>39</v>
      </c>
      <c r="D18" s="21" t="s">
        <v>39</v>
      </c>
      <c r="E18" s="21" t="s">
        <v>39</v>
      </c>
      <c r="F18" s="21" t="s">
        <v>40</v>
      </c>
      <c r="G18" s="21" t="s">
        <v>38</v>
      </c>
      <c r="H18" s="21" t="s">
        <v>38</v>
      </c>
      <c r="N18" s="33" t="s">
        <v>39</v>
      </c>
      <c r="O18" s="1" t="s">
        <v>53</v>
      </c>
      <c r="Q18" s="34"/>
      <c r="X18" s="1" t="s">
        <v>0</v>
      </c>
      <c r="AF18" s="22"/>
      <c r="AG18" s="22"/>
      <c r="AH18" s="22"/>
      <c r="AI18" s="22"/>
      <c r="AJ18" s="22"/>
      <c r="AK18" s="22"/>
    </row>
    <row r="19">
      <c r="A19" s="13" t="s">
        <v>45</v>
      </c>
      <c r="B19" s="20" t="s">
        <v>39</v>
      </c>
      <c r="C19" s="20" t="s">
        <v>40</v>
      </c>
      <c r="D19" s="20" t="s">
        <v>40</v>
      </c>
      <c r="E19" s="20" t="s">
        <v>40</v>
      </c>
      <c r="F19" s="20" t="s">
        <v>38</v>
      </c>
      <c r="G19" s="20" t="s">
        <v>40</v>
      </c>
      <c r="H19" s="20" t="s">
        <v>40</v>
      </c>
      <c r="N19" s="33" t="s">
        <v>41</v>
      </c>
      <c r="O19" s="1" t="s">
        <v>54</v>
      </c>
      <c r="Q19" s="34"/>
      <c r="AF19" s="22"/>
      <c r="AG19" s="22"/>
      <c r="AH19" s="22"/>
      <c r="AI19" s="22"/>
      <c r="AJ19" s="22"/>
      <c r="AK19" s="22"/>
    </row>
    <row r="20">
      <c r="A20" s="13" t="s">
        <v>47</v>
      </c>
      <c r="B20" s="20" t="s">
        <v>40</v>
      </c>
      <c r="C20" s="20" t="s">
        <v>38</v>
      </c>
      <c r="D20" s="20" t="s">
        <v>38</v>
      </c>
      <c r="E20" s="20" t="s">
        <v>38</v>
      </c>
      <c r="F20" s="20" t="s">
        <v>40</v>
      </c>
      <c r="G20" s="20" t="s">
        <v>40</v>
      </c>
      <c r="H20" s="20" t="s">
        <v>40</v>
      </c>
      <c r="N20" s="33" t="s">
        <v>55</v>
      </c>
      <c r="O20" s="1" t="s">
        <v>56</v>
      </c>
      <c r="Q20" s="34"/>
    </row>
    <row r="21">
      <c r="A21" s="13" t="s">
        <v>48</v>
      </c>
      <c r="B21" s="20" t="s">
        <v>38</v>
      </c>
      <c r="C21" s="20" t="s">
        <v>40</v>
      </c>
      <c r="D21" s="20" t="s">
        <v>46</v>
      </c>
      <c r="E21" s="20" t="s">
        <v>40</v>
      </c>
      <c r="F21" s="20" t="s">
        <v>39</v>
      </c>
      <c r="G21" s="20" t="s">
        <v>39</v>
      </c>
      <c r="H21" s="20" t="s">
        <v>39</v>
      </c>
      <c r="N21" s="33" t="s">
        <v>40</v>
      </c>
      <c r="O21" s="1" t="s">
        <v>57</v>
      </c>
      <c r="Q21" s="34"/>
    </row>
    <row r="22">
      <c r="A22" s="13" t="s">
        <v>73</v>
      </c>
      <c r="B22" s="20" t="s">
        <v>58</v>
      </c>
      <c r="C22" s="20" t="s">
        <v>58</v>
      </c>
      <c r="D22" s="20" t="s">
        <v>58</v>
      </c>
      <c r="E22" s="20" t="s">
        <v>58</v>
      </c>
      <c r="F22" s="20" t="s">
        <v>58</v>
      </c>
      <c r="G22" s="20" t="s">
        <v>40</v>
      </c>
      <c r="H22" s="20" t="s">
        <v>40</v>
      </c>
      <c r="I22" s="20"/>
      <c r="J22" s="20"/>
      <c r="K22" s="21"/>
      <c r="L22" s="21"/>
      <c r="M22" s="21"/>
      <c r="N22" s="33" t="s">
        <v>58</v>
      </c>
      <c r="O22" s="1" t="s">
        <v>59</v>
      </c>
      <c r="Q22" s="34"/>
    </row>
    <row r="23">
      <c r="I23" s="20"/>
      <c r="J23" s="20"/>
      <c r="K23" s="20"/>
      <c r="L23" s="20"/>
      <c r="M23" s="20"/>
      <c r="N23" s="33" t="s">
        <v>60</v>
      </c>
      <c r="O23" s="1" t="s">
        <v>61</v>
      </c>
      <c r="Q23" s="34"/>
    </row>
    <row r="24">
      <c r="I24" s="20"/>
      <c r="J24" s="20"/>
      <c r="K24" s="20"/>
      <c r="L24" s="20"/>
      <c r="M24" s="20"/>
      <c r="N24" s="33" t="s">
        <v>44</v>
      </c>
      <c r="O24" s="1" t="s">
        <v>62</v>
      </c>
      <c r="Q24" s="34"/>
    </row>
    <row r="25">
      <c r="K25" s="20"/>
      <c r="L25" s="20"/>
      <c r="M25" s="20"/>
      <c r="N25" s="33" t="s">
        <v>63</v>
      </c>
      <c r="O25" s="1" t="s">
        <v>64</v>
      </c>
      <c r="Q25" s="34"/>
    </row>
    <row r="26">
      <c r="N26" s="33" t="s">
        <v>65</v>
      </c>
      <c r="O26" s="1" t="s">
        <v>66</v>
      </c>
      <c r="Q26" s="34"/>
    </row>
    <row r="27">
      <c r="N27" s="33" t="s">
        <v>46</v>
      </c>
      <c r="O27" s="1" t="s">
        <v>67</v>
      </c>
      <c r="Q27" s="34"/>
    </row>
    <row r="28">
      <c r="N28" s="35" t="s">
        <v>68</v>
      </c>
      <c r="O28" s="36" t="s">
        <v>69</v>
      </c>
      <c r="P28" s="8"/>
      <c r="Q28" s="37"/>
    </row>
  </sheetData>
  <mergeCells count="14">
    <mergeCell ref="O22:Q22"/>
    <mergeCell ref="O23:Q23"/>
    <mergeCell ref="O24:Q24"/>
    <mergeCell ref="O25:Q25"/>
    <mergeCell ref="O26:Q26"/>
    <mergeCell ref="O27:Q27"/>
    <mergeCell ref="O28:Q28"/>
    <mergeCell ref="B1:AC3"/>
    <mergeCell ref="N16:Q16"/>
    <mergeCell ref="O17:Q17"/>
    <mergeCell ref="O18:Q18"/>
    <mergeCell ref="O19:Q19"/>
    <mergeCell ref="O20:Q20"/>
    <mergeCell ref="O21:Q21"/>
  </mergeCells>
  <conditionalFormatting sqref="B7:H8 I7:AC11 B10:H11 E17:E28 N17:N28 B18:D22 F18:H22 I22:J24 K22:M25 O22:Q25 B33:F37 G33:H38 I38:J38">
    <cfRule type="cellIs" dxfId="0" priority="1" operator="equal">
      <formula>"X"</formula>
    </cfRule>
  </conditionalFormatting>
  <conditionalFormatting sqref="B7:H8 I7:AC11 B10:H11 E17:E28 N17:N28 B18:D22 F18:H22 I22:J24 K22:M25 O22:Q25 B33:F37 G33:H38 I38:J38">
    <cfRule type="cellIs" dxfId="1" priority="2" operator="equal">
      <formula>"D"</formula>
    </cfRule>
  </conditionalFormatting>
  <conditionalFormatting sqref="B7:H8 I7:AC11 B10:H11 E17:E28 N17:N28 B18:D22 F18:H22 I22:J24 K22:M25 O22:Q25 B33:F37 G33:H38 I38:J38">
    <cfRule type="cellIs" dxfId="2" priority="3" operator="equal">
      <formula>"N"</formula>
    </cfRule>
  </conditionalFormatting>
  <conditionalFormatting sqref="B7:H8 I7:AC11 B10:H11 E17:E28 N17:N28 B18:D22 F18:H22 I22:J24 K22:M25 O22:Q25 B33:F37 G33:H38 I38:J38">
    <cfRule type="cellIs" dxfId="3" priority="4" operator="equal">
      <formula>"OB"</formula>
    </cfRule>
  </conditionalFormatting>
  <conditionalFormatting sqref="B7:H8 I7:AC11 B10:H11 E17:E28 N17:N28 B18:D22 F18:H22 I22:J24 K22:M25 O22:Q25 B33:F37 G33:H38 I38:J38">
    <cfRule type="cellIs" dxfId="0" priority="5" operator="equal">
      <formula>"C"</formula>
    </cfRule>
  </conditionalFormatting>
  <conditionalFormatting sqref="B7:H8 I7:AC11 B10:H11 E17:E28 N17:N28 B18:D22 F18:H22 I22:J24 K22:M25 O22:Q25 B33:F37 G33:H38 I38:J38">
    <cfRule type="cellIs" dxfId="0" priority="6" operator="equal">
      <formula>"AL"</formula>
    </cfRule>
  </conditionalFormatting>
  <conditionalFormatting sqref="B7:H8 I7:AC11 B10:H11 E17:E28 N17:N28 B18:D22 F18:H22 I22:J24 K22:M25 O22:Q25 B33:F37 G33:H38 I38:J38">
    <cfRule type="cellIs" dxfId="4" priority="7" operator="equal">
      <formula>"UP"</formula>
    </cfRule>
  </conditionalFormatting>
  <conditionalFormatting sqref="B7:H8 I7:AC11 B10:H11 E17:E28 N17:N28 B18:D22 F18:H22 I22:J24 K22:M25 O22:Q25 B33:F37 G33:H38 I38:J38">
    <cfRule type="cellIs" dxfId="0" priority="8" operator="equal">
      <formula>"S"</formula>
    </cfRule>
  </conditionalFormatting>
  <conditionalFormatting sqref="B7:H8 I7:AC11 B10:H11 E17:E28 N17:N28 B18:D22 F18:H22 I22:J24 K22:M25 O22:Q25 B33:F37 G33:H38 I38:J38">
    <cfRule type="cellIs" dxfId="5" priority="9" operator="equal">
      <formula>"OC"</formula>
    </cfRule>
  </conditionalFormatting>
  <conditionalFormatting sqref="B7:H8 I7:AC11 B10:H11 E17:E28 N17:N28 B18:D22 F18:H22 I22:J24 K22:M25 O22:Q25 B33:F37 G33:H38 I38:J38">
    <cfRule type="cellIs" dxfId="6" priority="10" operator="equal">
      <formula>"SPV"</formula>
    </cfRule>
  </conditionalFormatting>
  <conditionalFormatting sqref="B7:H8 I7:AC11 B10:H11 E17:E28 N17:N28 B18:D22 F18:H22 I22:J24 K22:M25 O22:Q25 B33:F37 G33:H38 I38:J38">
    <cfRule type="cellIs" dxfId="7" priority="11" operator="equal">
      <formula>"INT"</formula>
    </cfRule>
  </conditionalFormatting>
  <conditionalFormatting sqref="B7:H8 I7:AC11 B10:H11 B18:H21">
    <cfRule type="cellIs" dxfId="8" priority="12" operator="equal">
      <formula>"T"</formula>
    </cfRule>
  </conditionalFormatting>
  <conditionalFormatting sqref="N27">
    <cfRule type="cellIs" dxfId="9" priority="13" operator="equal">
      <formula>"T"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74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35</v>
      </c>
      <c r="C5" s="13" t="s">
        <v>36</v>
      </c>
      <c r="D5" s="13" t="s">
        <v>37</v>
      </c>
      <c r="E5" s="13" t="s">
        <v>70</v>
      </c>
      <c r="F5" s="13" t="s">
        <v>71</v>
      </c>
      <c r="G5" s="13" t="s">
        <v>75</v>
      </c>
      <c r="H5" s="13" t="s">
        <v>10</v>
      </c>
      <c r="I5" s="13" t="s">
        <v>11</v>
      </c>
      <c r="J5" s="13" t="s">
        <v>12</v>
      </c>
      <c r="K5" s="13" t="s">
        <v>13</v>
      </c>
      <c r="L5" s="13" t="s">
        <v>14</v>
      </c>
      <c r="M5" s="13" t="s">
        <v>15</v>
      </c>
      <c r="N5" s="13" t="s">
        <v>16</v>
      </c>
      <c r="O5" s="13" t="s">
        <v>17</v>
      </c>
      <c r="P5" s="13" t="s">
        <v>18</v>
      </c>
      <c r="Q5" s="13" t="s">
        <v>19</v>
      </c>
      <c r="R5" s="13" t="s">
        <v>20</v>
      </c>
      <c r="S5" s="13" t="s">
        <v>21</v>
      </c>
      <c r="T5" s="13" t="s">
        <v>22</v>
      </c>
      <c r="U5" s="13" t="s">
        <v>23</v>
      </c>
      <c r="V5" s="13" t="s">
        <v>24</v>
      </c>
      <c r="W5" s="13" t="s">
        <v>25</v>
      </c>
      <c r="X5" s="13" t="s">
        <v>26</v>
      </c>
      <c r="Y5" s="13" t="s">
        <v>27</v>
      </c>
      <c r="Z5" s="13" t="s">
        <v>28</v>
      </c>
      <c r="AA5" s="13" t="s">
        <v>29</v>
      </c>
      <c r="AB5" s="13" t="s">
        <v>30</v>
      </c>
      <c r="AC5" s="13" t="s">
        <v>31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55" t="s">
        <v>40</v>
      </c>
      <c r="C7" s="55" t="s">
        <v>40</v>
      </c>
      <c r="D7" s="55" t="s">
        <v>39</v>
      </c>
      <c r="E7" s="55" t="s">
        <v>39</v>
      </c>
      <c r="F7" s="55" t="s">
        <v>39</v>
      </c>
      <c r="G7" s="55" t="s">
        <v>40</v>
      </c>
      <c r="H7" s="55" t="s">
        <v>40</v>
      </c>
      <c r="I7" s="56" t="s">
        <v>41</v>
      </c>
      <c r="J7" s="57" t="s">
        <v>38</v>
      </c>
      <c r="K7" s="57" t="s">
        <v>38</v>
      </c>
      <c r="L7" s="57" t="s">
        <v>38</v>
      </c>
      <c r="M7" s="56" t="s">
        <v>41</v>
      </c>
      <c r="N7" s="58" t="s">
        <v>68</v>
      </c>
      <c r="O7" s="58" t="s">
        <v>68</v>
      </c>
      <c r="P7" s="59" t="s">
        <v>40</v>
      </c>
      <c r="Q7" s="59" t="s">
        <v>39</v>
      </c>
      <c r="R7" s="59" t="s">
        <v>39</v>
      </c>
      <c r="S7" s="59" t="s">
        <v>39</v>
      </c>
      <c r="T7" s="59" t="s">
        <v>40</v>
      </c>
      <c r="U7" s="59" t="s">
        <v>40</v>
      </c>
      <c r="V7" s="59" t="s">
        <v>38</v>
      </c>
      <c r="W7" s="1" t="s">
        <v>38</v>
      </c>
      <c r="X7" s="1" t="s">
        <v>38</v>
      </c>
      <c r="Y7" s="1" t="s">
        <v>40</v>
      </c>
      <c r="Z7" s="1" t="s">
        <v>40</v>
      </c>
      <c r="AA7" s="1" t="s">
        <v>40</v>
      </c>
      <c r="AB7" s="1" t="s">
        <v>39</v>
      </c>
      <c r="AC7" s="1" t="s">
        <v>39</v>
      </c>
      <c r="AG7" s="49">
        <f t="shared" ref="AG7:AG11" si="1">COUNTIF(B7:AC7,"D")</f>
        <v>6</v>
      </c>
      <c r="AH7" s="49">
        <f t="shared" ref="AH7:AH11" si="2">COUNTIF(B7:AC7,"N")</f>
        <v>8</v>
      </c>
      <c r="AI7" s="49">
        <f t="shared" ref="AI7:AI11" si="3">COUNTIF(B7:AC7,"X")</f>
        <v>10</v>
      </c>
      <c r="AJ7" s="49">
        <f t="shared" ref="AJ7:AJ11" si="4">COUNTIF(B7:AC7,"INT")</f>
        <v>2</v>
      </c>
      <c r="AK7" s="49">
        <f t="shared" ref="AK7:AK11" si="5">SUM(AG7+AH7+AJ7)</f>
        <v>16</v>
      </c>
      <c r="AL7" s="49">
        <f t="shared" ref="AL7:AL11" si="6">((AG7*12)+(AH7*12)+(AJ7*8))/4</f>
        <v>46</v>
      </c>
    </row>
    <row r="8">
      <c r="A8" s="13" t="s">
        <v>45</v>
      </c>
      <c r="B8" s="55" t="s">
        <v>40</v>
      </c>
      <c r="C8" s="55" t="s">
        <v>40</v>
      </c>
      <c r="D8" s="55" t="s">
        <v>65</v>
      </c>
      <c r="E8" s="55" t="s">
        <v>65</v>
      </c>
      <c r="F8" s="55" t="s">
        <v>65</v>
      </c>
      <c r="G8" s="55" t="s">
        <v>39</v>
      </c>
      <c r="H8" s="55" t="s">
        <v>40</v>
      </c>
      <c r="I8" s="55" t="s">
        <v>39</v>
      </c>
      <c r="J8" s="55" t="s">
        <v>39</v>
      </c>
      <c r="K8" s="55" t="s">
        <v>39</v>
      </c>
      <c r="L8" s="55" t="s">
        <v>40</v>
      </c>
      <c r="M8" s="55" t="s">
        <v>38</v>
      </c>
      <c r="N8" s="55" t="s">
        <v>38</v>
      </c>
      <c r="O8" s="55" t="s">
        <v>40</v>
      </c>
      <c r="P8" s="56" t="s">
        <v>41</v>
      </c>
      <c r="Q8" s="56" t="s">
        <v>41</v>
      </c>
      <c r="R8" s="56" t="s">
        <v>41</v>
      </c>
      <c r="S8" s="56" t="s">
        <v>41</v>
      </c>
      <c r="T8" s="56" t="s">
        <v>41</v>
      </c>
      <c r="U8" s="58" t="s">
        <v>68</v>
      </c>
      <c r="V8" s="58" t="s">
        <v>68</v>
      </c>
      <c r="W8" s="59" t="s">
        <v>39</v>
      </c>
      <c r="X8" s="59" t="s">
        <v>39</v>
      </c>
      <c r="Y8" s="59" t="s">
        <v>40</v>
      </c>
      <c r="Z8" s="59" t="s">
        <v>40</v>
      </c>
      <c r="AA8" s="59" t="s">
        <v>40</v>
      </c>
      <c r="AB8" s="59" t="s">
        <v>40</v>
      </c>
      <c r="AC8" s="59" t="s">
        <v>38</v>
      </c>
      <c r="AG8" s="49">
        <f t="shared" si="1"/>
        <v>3</v>
      </c>
      <c r="AH8" s="49">
        <f t="shared" si="2"/>
        <v>6</v>
      </c>
      <c r="AI8" s="49">
        <f t="shared" si="3"/>
        <v>9</v>
      </c>
      <c r="AJ8" s="49">
        <f t="shared" si="4"/>
        <v>5</v>
      </c>
      <c r="AK8" s="49">
        <f t="shared" si="5"/>
        <v>14</v>
      </c>
      <c r="AL8" s="49">
        <f t="shared" si="6"/>
        <v>37</v>
      </c>
    </row>
    <row r="9">
      <c r="A9" s="13" t="s">
        <v>47</v>
      </c>
      <c r="B9" s="60" t="s">
        <v>38</v>
      </c>
      <c r="C9" s="60" t="s">
        <v>38</v>
      </c>
      <c r="D9" s="60" t="s">
        <v>38</v>
      </c>
      <c r="E9" s="60" t="s">
        <v>40</v>
      </c>
      <c r="F9" s="60" t="s">
        <v>40</v>
      </c>
      <c r="G9" s="61" t="s">
        <v>38</v>
      </c>
      <c r="H9" s="61" t="s">
        <v>38</v>
      </c>
      <c r="I9" s="59" t="s">
        <v>38</v>
      </c>
      <c r="J9" s="59" t="s">
        <v>40</v>
      </c>
      <c r="K9" s="59" t="s">
        <v>40</v>
      </c>
      <c r="L9" s="59" t="s">
        <v>39</v>
      </c>
      <c r="M9" s="59" t="s">
        <v>39</v>
      </c>
      <c r="N9" s="59" t="s">
        <v>39</v>
      </c>
      <c r="O9" s="59" t="s">
        <v>40</v>
      </c>
      <c r="P9" s="59" t="s">
        <v>40</v>
      </c>
      <c r="Q9" s="59" t="s">
        <v>40</v>
      </c>
      <c r="R9" s="59" t="s">
        <v>38</v>
      </c>
      <c r="S9" s="59" t="s">
        <v>40</v>
      </c>
      <c r="T9" s="59" t="s">
        <v>38</v>
      </c>
      <c r="U9" s="59" t="s">
        <v>40</v>
      </c>
      <c r="V9" s="59" t="s">
        <v>40</v>
      </c>
      <c r="W9" s="56" t="s">
        <v>41</v>
      </c>
      <c r="X9" s="56" t="s">
        <v>41</v>
      </c>
      <c r="Y9" s="56" t="s">
        <v>41</v>
      </c>
      <c r="Z9" s="56" t="s">
        <v>41</v>
      </c>
      <c r="AA9" s="56" t="s">
        <v>41</v>
      </c>
      <c r="AB9" s="58" t="s">
        <v>68</v>
      </c>
      <c r="AC9" s="58" t="s">
        <v>68</v>
      </c>
      <c r="AG9" s="49">
        <f t="shared" si="1"/>
        <v>8</v>
      </c>
      <c r="AH9" s="49">
        <f t="shared" si="2"/>
        <v>3</v>
      </c>
      <c r="AI9" s="49">
        <f t="shared" si="3"/>
        <v>10</v>
      </c>
      <c r="AJ9" s="49">
        <f t="shared" si="4"/>
        <v>5</v>
      </c>
      <c r="AK9" s="49">
        <f t="shared" si="5"/>
        <v>16</v>
      </c>
      <c r="AL9" s="49">
        <f t="shared" si="6"/>
        <v>43</v>
      </c>
    </row>
    <row r="10">
      <c r="A10" s="13" t="s">
        <v>48</v>
      </c>
      <c r="B10" s="55" t="s">
        <v>39</v>
      </c>
      <c r="C10" s="55" t="s">
        <v>39</v>
      </c>
      <c r="D10" s="55" t="s">
        <v>40</v>
      </c>
      <c r="E10" s="55" t="s">
        <v>40</v>
      </c>
      <c r="F10" s="55" t="s">
        <v>40</v>
      </c>
      <c r="G10" s="55" t="s">
        <v>65</v>
      </c>
      <c r="H10" s="55" t="s">
        <v>39</v>
      </c>
      <c r="I10" s="55" t="s">
        <v>40</v>
      </c>
      <c r="J10" s="55" t="s">
        <v>65</v>
      </c>
      <c r="K10" s="55" t="s">
        <v>65</v>
      </c>
      <c r="L10" s="55" t="s">
        <v>65</v>
      </c>
      <c r="M10" s="55" t="s">
        <v>40</v>
      </c>
      <c r="N10" s="55" t="s">
        <v>40</v>
      </c>
      <c r="O10" s="55" t="s">
        <v>39</v>
      </c>
      <c r="P10" s="55" t="s">
        <v>39</v>
      </c>
      <c r="Q10" s="55" t="s">
        <v>40</v>
      </c>
      <c r="R10" s="55" t="s">
        <v>40</v>
      </c>
      <c r="S10" s="55" t="s">
        <v>38</v>
      </c>
      <c r="T10" s="55" t="s">
        <v>40</v>
      </c>
      <c r="U10" s="55" t="s">
        <v>38</v>
      </c>
      <c r="V10" s="55" t="s">
        <v>40</v>
      </c>
      <c r="W10" s="59" t="s">
        <v>40</v>
      </c>
      <c r="X10" s="59" t="s">
        <v>40</v>
      </c>
      <c r="Y10" s="59" t="s">
        <v>39</v>
      </c>
      <c r="Z10" s="59" t="s">
        <v>39</v>
      </c>
      <c r="AA10" s="59" t="s">
        <v>39</v>
      </c>
      <c r="AB10" s="59" t="s">
        <v>40</v>
      </c>
      <c r="AC10" s="59" t="s">
        <v>40</v>
      </c>
      <c r="AG10" s="49">
        <f t="shared" si="1"/>
        <v>2</v>
      </c>
      <c r="AH10" s="49">
        <f t="shared" si="2"/>
        <v>8</v>
      </c>
      <c r="AI10" s="49">
        <f t="shared" si="3"/>
        <v>14</v>
      </c>
      <c r="AJ10" s="49">
        <f t="shared" si="4"/>
        <v>0</v>
      </c>
      <c r="AK10" s="49">
        <f t="shared" si="5"/>
        <v>10</v>
      </c>
      <c r="AL10" s="49">
        <f t="shared" si="6"/>
        <v>30</v>
      </c>
    </row>
    <row r="11">
      <c r="A11" s="13" t="s">
        <v>73</v>
      </c>
      <c r="B11" s="57" t="s">
        <v>40</v>
      </c>
      <c r="C11" s="56" t="s">
        <v>41</v>
      </c>
      <c r="D11" s="57" t="s">
        <v>60</v>
      </c>
      <c r="E11" s="57" t="s">
        <v>38</v>
      </c>
      <c r="F11" s="57" t="s">
        <v>38</v>
      </c>
      <c r="G11" s="58" t="s">
        <v>68</v>
      </c>
      <c r="H11" s="58" t="s">
        <v>68</v>
      </c>
      <c r="I11" s="55" t="s">
        <v>44</v>
      </c>
      <c r="J11" s="55" t="s">
        <v>44</v>
      </c>
      <c r="K11" s="55" t="s">
        <v>44</v>
      </c>
      <c r="L11" s="55" t="s">
        <v>44</v>
      </c>
      <c r="M11" s="55" t="s">
        <v>44</v>
      </c>
      <c r="N11" s="55" t="s">
        <v>40</v>
      </c>
      <c r="O11" s="55" t="s">
        <v>38</v>
      </c>
      <c r="P11" s="59" t="s">
        <v>38</v>
      </c>
      <c r="Q11" s="59" t="s">
        <v>38</v>
      </c>
      <c r="R11" s="59" t="s">
        <v>40</v>
      </c>
      <c r="S11" s="59" t="s">
        <v>40</v>
      </c>
      <c r="T11" s="59" t="s">
        <v>39</v>
      </c>
      <c r="U11" s="59" t="s">
        <v>39</v>
      </c>
      <c r="V11" s="59" t="s">
        <v>39</v>
      </c>
      <c r="W11" s="55" t="s">
        <v>40</v>
      </c>
      <c r="X11" s="55" t="s">
        <v>40</v>
      </c>
      <c r="Y11" s="55" t="s">
        <v>38</v>
      </c>
      <c r="Z11" s="55" t="s">
        <v>38</v>
      </c>
      <c r="AA11" s="55" t="s">
        <v>38</v>
      </c>
      <c r="AB11" s="55" t="s">
        <v>38</v>
      </c>
      <c r="AC11" s="55" t="s">
        <v>40</v>
      </c>
      <c r="AG11" s="49">
        <f t="shared" si="1"/>
        <v>9</v>
      </c>
      <c r="AH11" s="49">
        <f t="shared" si="2"/>
        <v>3</v>
      </c>
      <c r="AI11" s="49">
        <f t="shared" si="3"/>
        <v>7</v>
      </c>
      <c r="AJ11" s="49">
        <f t="shared" si="4"/>
        <v>1</v>
      </c>
      <c r="AK11" s="49">
        <f t="shared" si="5"/>
        <v>13</v>
      </c>
      <c r="AL11" s="49">
        <f t="shared" si="6"/>
        <v>38</v>
      </c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1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32"/>
      <c r="J16" s="28"/>
      <c r="K16" s="28"/>
      <c r="L16" s="62" t="s">
        <v>77</v>
      </c>
      <c r="M16" s="28"/>
      <c r="N16" s="28"/>
      <c r="O16" s="28"/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9" t="s">
        <v>2</v>
      </c>
      <c r="K17" s="9" t="s">
        <v>3</v>
      </c>
      <c r="L17" s="9" t="s">
        <v>4</v>
      </c>
      <c r="M17" s="9" t="s">
        <v>5</v>
      </c>
      <c r="N17" s="9" t="s">
        <v>6</v>
      </c>
      <c r="O17" s="63" t="s">
        <v>7</v>
      </c>
      <c r="P17" s="64" t="s">
        <v>8</v>
      </c>
      <c r="Q17" s="13"/>
      <c r="R17" s="11"/>
      <c r="S17" s="11"/>
      <c r="T17" s="55"/>
      <c r="U17" s="55"/>
      <c r="V17" s="55"/>
      <c r="W17" s="55"/>
      <c r="X17" s="55"/>
      <c r="Y17" s="55"/>
      <c r="Z17" s="55"/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 t="s">
        <v>28</v>
      </c>
      <c r="K18" s="13" t="s">
        <v>29</v>
      </c>
      <c r="L18" s="13" t="s">
        <v>30</v>
      </c>
      <c r="M18" s="13" t="s">
        <v>31</v>
      </c>
      <c r="N18" s="13" t="s">
        <v>32</v>
      </c>
      <c r="O18" s="13" t="s">
        <v>33</v>
      </c>
      <c r="P18" s="65" t="s">
        <v>34</v>
      </c>
      <c r="Q18" s="13"/>
      <c r="R18" s="13"/>
      <c r="S18" s="13"/>
      <c r="T18" s="55"/>
      <c r="U18" s="55"/>
      <c r="V18" s="55"/>
      <c r="W18" s="55"/>
      <c r="X18" s="55"/>
      <c r="Y18" s="55"/>
      <c r="Z18" s="55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T19" s="60"/>
      <c r="U19" s="60"/>
      <c r="V19" s="60"/>
      <c r="W19" s="60"/>
      <c r="X19" s="60"/>
      <c r="Y19" s="61"/>
      <c r="Z19" s="61"/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J20" s="20" t="s">
        <v>39</v>
      </c>
      <c r="K20" s="20" t="s">
        <v>39</v>
      </c>
      <c r="L20" s="20" t="s">
        <v>40</v>
      </c>
      <c r="M20" s="20" t="s">
        <v>40</v>
      </c>
      <c r="N20" s="20" t="s">
        <v>40</v>
      </c>
      <c r="O20" s="20" t="s">
        <v>38</v>
      </c>
      <c r="P20" s="20" t="s">
        <v>38</v>
      </c>
      <c r="Q20" s="19" t="s">
        <v>43</v>
      </c>
      <c r="R20" s="19"/>
      <c r="S20" s="19"/>
      <c r="T20" s="55"/>
      <c r="U20" s="55"/>
      <c r="V20" s="55"/>
      <c r="W20" s="55"/>
      <c r="X20" s="55"/>
      <c r="Y20" s="55"/>
      <c r="Z20" s="55"/>
    </row>
    <row r="21">
      <c r="E21" s="33" t="s">
        <v>40</v>
      </c>
      <c r="F21" s="1" t="s">
        <v>57</v>
      </c>
      <c r="H21" s="34"/>
      <c r="J21" s="20" t="s">
        <v>38</v>
      </c>
      <c r="K21" s="20" t="s">
        <v>38</v>
      </c>
      <c r="L21" s="20" t="s">
        <v>40</v>
      </c>
      <c r="M21" s="20" t="s">
        <v>40</v>
      </c>
      <c r="N21" s="20" t="s">
        <v>40</v>
      </c>
      <c r="O21" s="20" t="s">
        <v>39</v>
      </c>
      <c r="P21" s="20" t="s">
        <v>39</v>
      </c>
      <c r="Q21" s="13" t="s">
        <v>45</v>
      </c>
      <c r="R21" s="13"/>
      <c r="S21" s="13"/>
      <c r="T21" s="20"/>
      <c r="U21" s="20"/>
      <c r="V21" s="20"/>
      <c r="W21" s="20"/>
      <c r="X21" s="13"/>
    </row>
    <row r="22">
      <c r="E22" s="33" t="s">
        <v>58</v>
      </c>
      <c r="F22" s="1" t="s">
        <v>59</v>
      </c>
      <c r="H22" s="34"/>
      <c r="I22" s="20"/>
      <c r="J22" s="20" t="s">
        <v>40</v>
      </c>
      <c r="K22" s="20" t="s">
        <v>40</v>
      </c>
      <c r="L22" s="20" t="s">
        <v>39</v>
      </c>
      <c r="M22" s="20" t="s">
        <v>39</v>
      </c>
      <c r="N22" s="20" t="s">
        <v>39</v>
      </c>
      <c r="O22" s="20" t="s">
        <v>40</v>
      </c>
      <c r="P22" s="20" t="s">
        <v>40</v>
      </c>
      <c r="Q22" s="13" t="s">
        <v>47</v>
      </c>
      <c r="R22" s="13"/>
      <c r="S22" s="13"/>
      <c r="T22" s="20"/>
      <c r="U22" s="20"/>
      <c r="V22" s="20"/>
      <c r="W22" s="20"/>
      <c r="X22" s="13"/>
    </row>
    <row r="23">
      <c r="E23" s="33" t="s">
        <v>60</v>
      </c>
      <c r="F23" s="1" t="s">
        <v>61</v>
      </c>
      <c r="H23" s="34"/>
      <c r="I23" s="20"/>
      <c r="J23" s="20" t="s">
        <v>41</v>
      </c>
      <c r="K23" s="20" t="s">
        <v>41</v>
      </c>
      <c r="L23" s="20" t="s">
        <v>41</v>
      </c>
      <c r="M23" s="20" t="s">
        <v>41</v>
      </c>
      <c r="N23" s="20" t="s">
        <v>41</v>
      </c>
      <c r="O23" s="20" t="s">
        <v>39</v>
      </c>
      <c r="P23" s="20" t="s">
        <v>68</v>
      </c>
      <c r="Q23" s="13" t="s">
        <v>48</v>
      </c>
      <c r="R23" s="13"/>
      <c r="S23" s="13"/>
      <c r="T23" s="20"/>
      <c r="U23" s="20"/>
      <c r="V23" s="20"/>
      <c r="W23" s="20"/>
      <c r="X23" s="13"/>
    </row>
    <row r="24">
      <c r="E24" s="33" t="s">
        <v>44</v>
      </c>
      <c r="F24" s="1" t="s">
        <v>62</v>
      </c>
      <c r="H24" s="34"/>
      <c r="I24" s="20"/>
      <c r="J24" s="20" t="s">
        <v>40</v>
      </c>
      <c r="K24" s="20" t="s">
        <v>40</v>
      </c>
      <c r="L24" s="20" t="s">
        <v>38</v>
      </c>
      <c r="M24" s="20" t="s">
        <v>38</v>
      </c>
      <c r="N24" s="20" t="s">
        <v>38</v>
      </c>
      <c r="O24" s="20" t="s">
        <v>40</v>
      </c>
      <c r="P24" s="20" t="s">
        <v>40</v>
      </c>
      <c r="Q24" s="13" t="s">
        <v>73</v>
      </c>
      <c r="R24" s="13"/>
      <c r="S24" s="13"/>
      <c r="T24" s="20"/>
      <c r="U24" s="20"/>
      <c r="V24" s="20"/>
      <c r="W24" s="20"/>
      <c r="X24" s="13"/>
    </row>
    <row r="25">
      <c r="E25" s="33" t="s">
        <v>63</v>
      </c>
      <c r="F25" s="1" t="s">
        <v>64</v>
      </c>
      <c r="H25" s="34"/>
      <c r="K25" s="20"/>
      <c r="L25" s="20"/>
      <c r="M25" s="20"/>
      <c r="N25" s="20"/>
      <c r="O25" s="20"/>
      <c r="P25" s="20"/>
      <c r="Q25" s="20"/>
    </row>
    <row r="26">
      <c r="E26" s="33" t="s">
        <v>65</v>
      </c>
      <c r="F26" s="1" t="s">
        <v>66</v>
      </c>
      <c r="H26" s="34"/>
    </row>
    <row r="27">
      <c r="E27" s="33" t="s">
        <v>46</v>
      </c>
      <c r="F27" s="1" t="s">
        <v>67</v>
      </c>
      <c r="H27" s="34"/>
    </row>
    <row r="28">
      <c r="E28" s="35" t="s">
        <v>68</v>
      </c>
      <c r="F28" s="36" t="s">
        <v>69</v>
      </c>
      <c r="G28" s="8"/>
      <c r="H28" s="37"/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14">
    <mergeCell ref="F22:H22"/>
    <mergeCell ref="F23:H23"/>
    <mergeCell ref="F24:H24"/>
    <mergeCell ref="F25:H25"/>
    <mergeCell ref="F26:H26"/>
    <mergeCell ref="F27:H27"/>
    <mergeCell ref="F28:H28"/>
    <mergeCell ref="B1:AC3"/>
    <mergeCell ref="E16:H16"/>
    <mergeCell ref="F17:H17"/>
    <mergeCell ref="F18:H18"/>
    <mergeCell ref="F19:H19"/>
    <mergeCell ref="F20:H20"/>
    <mergeCell ref="F21:H21"/>
  </mergeCells>
  <conditionalFormatting sqref="B7:AC11 T17:Z20 T22:W22">
    <cfRule type="cellIs" dxfId="0" priority="1" operator="equal">
      <formula>"X"</formula>
    </cfRule>
  </conditionalFormatting>
  <conditionalFormatting sqref="B7:AC11 T17:Z20 T22:W22">
    <cfRule type="cellIs" dxfId="1" priority="2" operator="equal">
      <formula>"D"</formula>
    </cfRule>
  </conditionalFormatting>
  <conditionalFormatting sqref="B7:AC11 T17:Z20 T22:W22">
    <cfRule type="cellIs" dxfId="2" priority="3" operator="equal">
      <formula>"N"</formula>
    </cfRule>
  </conditionalFormatting>
  <conditionalFormatting sqref="B7:AC11 T17:Z20 T22:W22">
    <cfRule type="cellIs" dxfId="3" priority="4" operator="equal">
      <formula>"OB"</formula>
    </cfRule>
  </conditionalFormatting>
  <conditionalFormatting sqref="B7:AC11 T17:Z20 T22:W22">
    <cfRule type="cellIs" dxfId="0" priority="5" operator="equal">
      <formula>"C"</formula>
    </cfRule>
  </conditionalFormatting>
  <conditionalFormatting sqref="B7:AC11 T17:Z20 T22:W22">
    <cfRule type="cellIs" dxfId="0" priority="6" operator="equal">
      <formula>"AL"</formula>
    </cfRule>
  </conditionalFormatting>
  <conditionalFormatting sqref="B7:AC11 T17:Z20 T22:W22">
    <cfRule type="cellIs" dxfId="4" priority="7" operator="equal">
      <formula>"UP"</formula>
    </cfRule>
  </conditionalFormatting>
  <conditionalFormatting sqref="B7:AC11 T17:Z20 T22:W22">
    <cfRule type="cellIs" dxfId="0" priority="8" operator="equal">
      <formula>"S"</formula>
    </cfRule>
  </conditionalFormatting>
  <conditionalFormatting sqref="B7:AC11 T17:Z20 T22:W22">
    <cfRule type="cellIs" dxfId="5" priority="9" operator="equal">
      <formula>"OC"</formula>
    </cfRule>
  </conditionalFormatting>
  <conditionalFormatting sqref="B7:AC11 T17:Z20 T22:W22">
    <cfRule type="cellIs" dxfId="6" priority="10" operator="equal">
      <formula>"SPV"</formula>
    </cfRule>
  </conditionalFormatting>
  <conditionalFormatting sqref="B7:AC11 T17:Z20 T22:W22">
    <cfRule type="cellIs" dxfId="7" priority="11" operator="equal">
      <formula>"INT"</formula>
    </cfRule>
  </conditionalFormatting>
  <conditionalFormatting sqref="B7:AC11 T17:Z20 T22:W22">
    <cfRule type="cellIs" dxfId="8" priority="12" operator="equal">
      <formula>"T"</formula>
    </cfRule>
  </conditionalFormatting>
  <conditionalFormatting sqref="B7:AC11 E17:E28 T17:W21 X17:Z20 J20:J24 K20:P25 I22:I24 T23:W24 Q25 B33:H36 G38:J38">
    <cfRule type="cellIs" dxfId="0" priority="13" operator="equal">
      <formula>"X"</formula>
    </cfRule>
  </conditionalFormatting>
  <conditionalFormatting sqref="B7:AC11 E17:E28 T17:W21 X17:Z20 J20:J24 K20:P25 I22:I24 T23:W24 Q25 B33:H36 G38:J38">
    <cfRule type="cellIs" dxfId="1" priority="14" operator="equal">
      <formula>"D"</formula>
    </cfRule>
  </conditionalFormatting>
  <conditionalFormatting sqref="B7:AC11 E17:E28 T17:W21 X17:Z20 J20:J24 K20:P25 I22:I24 T23:W24 Q25 B33:H36 G38:J38">
    <cfRule type="cellIs" dxfId="2" priority="15" operator="equal">
      <formula>"N"</formula>
    </cfRule>
  </conditionalFormatting>
  <conditionalFormatting sqref="B7:AC11 E17:E28 T17:W21 X17:Z20 J20:J24 K20:P25 I22:I24 T23:W24 Q25 B33:H36 G38:J38">
    <cfRule type="cellIs" dxfId="3" priority="16" operator="equal">
      <formula>"OB"</formula>
    </cfRule>
  </conditionalFormatting>
  <conditionalFormatting sqref="B7:AC11 E17:E28 T17:W21 X17:Z20 J20:J24 K20:P25 I22:I24 T23:W24 Q25 B33:H36 G38:J38">
    <cfRule type="cellIs" dxfId="0" priority="17" operator="equal">
      <formula>"C"</formula>
    </cfRule>
  </conditionalFormatting>
  <conditionalFormatting sqref="B7:AC11 E17:E28 T17:W21 X17:Z20 J20:J24 K20:P25 I22:I24 T23:W24 Q25 B33:H36 G38:J38">
    <cfRule type="cellIs" dxfId="0" priority="18" operator="equal">
      <formula>"AL"</formula>
    </cfRule>
  </conditionalFormatting>
  <conditionalFormatting sqref="B7:AC11 E17:E28 T17:W21 X17:Z20 J20:J24 K20:P25 I22:I24 T23:W24 Q25 B33:H36 G38:J38">
    <cfRule type="cellIs" dxfId="4" priority="19" operator="equal">
      <formula>"UP"</formula>
    </cfRule>
  </conditionalFormatting>
  <conditionalFormatting sqref="B7:AC11 E17:E28 T17:W21 X17:Z20 J20:J24 K20:P25 I22:I24 T23:W24 Q25 B33:H36 G38:J38">
    <cfRule type="cellIs" dxfId="0" priority="20" operator="equal">
      <formula>"S"</formula>
    </cfRule>
  </conditionalFormatting>
  <conditionalFormatting sqref="B7:AC11 E17:E28 T17:W21 X17:Z20 J20:J24 K20:P25 I22:I24 T23:W24 Q25 B33:H36 G38:J38">
    <cfRule type="cellIs" dxfId="5" priority="21" operator="equal">
      <formula>"OC"</formula>
    </cfRule>
  </conditionalFormatting>
  <conditionalFormatting sqref="B7:AC11 E17:E28 T17:W21 X17:Z20 J20:J24 K20:P25 I22:I24 T23:W24 Q25 B33:H36 G38:J38">
    <cfRule type="cellIs" dxfId="6" priority="22" operator="equal">
      <formula>"SPV"</formula>
    </cfRule>
  </conditionalFormatting>
  <conditionalFormatting sqref="B7:AC11 E17:E28 T17:W21 X17:Z20 J20:J24 K20:P25 I22:I24 T23:W24 Q25 B33:H36 G38:J38">
    <cfRule type="cellIs" dxfId="7" priority="23" operator="equal">
      <formula>"INT"</formula>
    </cfRule>
  </conditionalFormatting>
  <conditionalFormatting sqref="B7:AC11 T17:W21 X17:Z20 J20:P24 T23:W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78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32</v>
      </c>
      <c r="C5" s="13" t="s">
        <v>33</v>
      </c>
      <c r="D5" s="13" t="s">
        <v>34</v>
      </c>
      <c r="E5" s="13" t="s">
        <v>35</v>
      </c>
      <c r="F5" s="13" t="s">
        <v>36</v>
      </c>
      <c r="G5" s="13" t="s">
        <v>37</v>
      </c>
      <c r="H5" s="13" t="s">
        <v>71</v>
      </c>
      <c r="I5" s="13" t="s">
        <v>75</v>
      </c>
      <c r="J5" s="13" t="s">
        <v>10</v>
      </c>
      <c r="K5" s="13" t="s">
        <v>11</v>
      </c>
      <c r="L5" s="13" t="s">
        <v>12</v>
      </c>
      <c r="M5" s="13" t="s">
        <v>13</v>
      </c>
      <c r="N5" s="13" t="s">
        <v>14</v>
      </c>
      <c r="O5" s="13" t="s">
        <v>15</v>
      </c>
      <c r="P5" s="13" t="s">
        <v>16</v>
      </c>
      <c r="Q5" s="13" t="s">
        <v>17</v>
      </c>
      <c r="R5" s="13" t="s">
        <v>18</v>
      </c>
      <c r="S5" s="13" t="s">
        <v>19</v>
      </c>
      <c r="T5" s="13" t="s">
        <v>20</v>
      </c>
      <c r="U5" s="13" t="s">
        <v>21</v>
      </c>
      <c r="V5" s="13" t="s">
        <v>22</v>
      </c>
      <c r="W5" s="13" t="s">
        <v>23</v>
      </c>
      <c r="X5" s="13" t="s">
        <v>24</v>
      </c>
      <c r="Y5" s="13" t="s">
        <v>25</v>
      </c>
      <c r="Z5" s="13" t="s">
        <v>26</v>
      </c>
      <c r="AA5" s="13" t="s">
        <v>27</v>
      </c>
      <c r="AB5" s="13" t="s">
        <v>28</v>
      </c>
      <c r="AC5" s="13" t="s">
        <v>29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69" t="s">
        <v>40</v>
      </c>
      <c r="C7" s="69" t="s">
        <v>40</v>
      </c>
      <c r="D7" s="69" t="s">
        <v>38</v>
      </c>
      <c r="E7" s="69" t="s">
        <v>38</v>
      </c>
      <c r="F7" s="69" t="s">
        <v>40</v>
      </c>
      <c r="G7" s="69" t="s">
        <v>40</v>
      </c>
      <c r="H7" s="69" t="s">
        <v>39</v>
      </c>
      <c r="I7" s="60" t="s">
        <v>39</v>
      </c>
      <c r="J7" s="60" t="s">
        <v>40</v>
      </c>
      <c r="K7" s="60" t="s">
        <v>40</v>
      </c>
      <c r="L7" s="60" t="s">
        <v>38</v>
      </c>
      <c r="M7" s="60" t="s">
        <v>38</v>
      </c>
      <c r="N7" s="61" t="s">
        <v>40</v>
      </c>
      <c r="O7" s="61" t="s">
        <v>40</v>
      </c>
      <c r="P7" s="70" t="s">
        <v>41</v>
      </c>
      <c r="Q7" s="70" t="s">
        <v>41</v>
      </c>
      <c r="R7" s="70" t="s">
        <v>41</v>
      </c>
      <c r="S7" s="70" t="s">
        <v>41</v>
      </c>
      <c r="T7" s="70" t="s">
        <v>41</v>
      </c>
      <c r="U7" s="70" t="s">
        <v>68</v>
      </c>
      <c r="V7" s="70" t="s">
        <v>68</v>
      </c>
      <c r="W7" s="71" t="s">
        <v>39</v>
      </c>
      <c r="X7" s="71" t="s">
        <v>39</v>
      </c>
      <c r="Y7" s="71" t="s">
        <v>40</v>
      </c>
      <c r="Z7" s="71" t="s">
        <v>40</v>
      </c>
      <c r="AA7" s="71" t="s">
        <v>40</v>
      </c>
      <c r="AB7" s="71" t="s">
        <v>38</v>
      </c>
      <c r="AC7" s="71" t="s">
        <v>38</v>
      </c>
      <c r="AG7" s="49">
        <f t="shared" ref="AG7:AG11" si="1">COUNTIF(B7:AC7,"D")</f>
        <v>6</v>
      </c>
      <c r="AH7" s="49">
        <f t="shared" ref="AH7:AH11" si="2">COUNTIF(B7:AC7,"N")</f>
        <v>4</v>
      </c>
      <c r="AI7" s="49">
        <f t="shared" ref="AI7:AI11" si="3">COUNTIF(B7:AC7,"X")</f>
        <v>11</v>
      </c>
      <c r="AJ7" s="49">
        <f t="shared" ref="AJ7:AJ11" si="4">COUNTIF(B7:AC7,"INT")</f>
        <v>5</v>
      </c>
      <c r="AK7" s="49">
        <f t="shared" ref="AK7:AK11" si="5">SUM(AG7+AH7+AJ7)</f>
        <v>15</v>
      </c>
      <c r="AL7" s="49">
        <f t="shared" ref="AL7:AL11" si="6">((AG7*12)+(AH7*12)+(AJ7*8))/4</f>
        <v>40</v>
      </c>
    </row>
    <row r="8">
      <c r="A8" s="13" t="s">
        <v>45</v>
      </c>
      <c r="B8" s="69" t="s">
        <v>40</v>
      </c>
      <c r="C8" s="69" t="s">
        <v>40</v>
      </c>
      <c r="D8" s="69" t="s">
        <v>39</v>
      </c>
      <c r="E8" s="69" t="s">
        <v>39</v>
      </c>
      <c r="F8" s="69" t="s">
        <v>39</v>
      </c>
      <c r="G8" s="69" t="s">
        <v>40</v>
      </c>
      <c r="H8" s="69" t="s">
        <v>40</v>
      </c>
      <c r="I8" s="69" t="s">
        <v>38</v>
      </c>
      <c r="J8" s="69" t="s">
        <v>38</v>
      </c>
      <c r="K8" s="69" t="s">
        <v>38</v>
      </c>
      <c r="L8" s="69" t="s">
        <v>40</v>
      </c>
      <c r="M8" s="69" t="s">
        <v>40</v>
      </c>
      <c r="N8" s="69" t="s">
        <v>39</v>
      </c>
      <c r="O8" s="69" t="s">
        <v>39</v>
      </c>
      <c r="P8" s="60" t="s">
        <v>40</v>
      </c>
      <c r="Q8" s="60" t="s">
        <v>40</v>
      </c>
      <c r="R8" s="60" t="s">
        <v>38</v>
      </c>
      <c r="S8" s="60" t="s">
        <v>38</v>
      </c>
      <c r="T8" s="60" t="s">
        <v>38</v>
      </c>
      <c r="U8" s="61" t="s">
        <v>40</v>
      </c>
      <c r="V8" s="61" t="s">
        <v>40</v>
      </c>
      <c r="W8" s="70" t="s">
        <v>41</v>
      </c>
      <c r="X8" s="70" t="s">
        <v>41</v>
      </c>
      <c r="Y8" s="70" t="s">
        <v>41</v>
      </c>
      <c r="Z8" s="70" t="s">
        <v>41</v>
      </c>
      <c r="AA8" s="70" t="s">
        <v>41</v>
      </c>
      <c r="AB8" s="70" t="s">
        <v>68</v>
      </c>
      <c r="AC8" s="70" t="s">
        <v>68</v>
      </c>
      <c r="AG8" s="49">
        <f t="shared" si="1"/>
        <v>6</v>
      </c>
      <c r="AH8" s="49">
        <f t="shared" si="2"/>
        <v>5</v>
      </c>
      <c r="AI8" s="49">
        <f t="shared" si="3"/>
        <v>10</v>
      </c>
      <c r="AJ8" s="49">
        <f t="shared" si="4"/>
        <v>5</v>
      </c>
      <c r="AK8" s="49">
        <f t="shared" si="5"/>
        <v>16</v>
      </c>
      <c r="AL8" s="49">
        <f t="shared" si="6"/>
        <v>43</v>
      </c>
    </row>
    <row r="9">
      <c r="A9" s="13" t="s">
        <v>47</v>
      </c>
      <c r="B9" s="60" t="s">
        <v>39</v>
      </c>
      <c r="C9" s="60" t="s">
        <v>39</v>
      </c>
      <c r="D9" s="60" t="s">
        <v>40</v>
      </c>
      <c r="E9" s="60" t="s">
        <v>40</v>
      </c>
      <c r="F9" s="60" t="s">
        <v>38</v>
      </c>
      <c r="G9" s="61" t="s">
        <v>38</v>
      </c>
      <c r="H9" s="61" t="s">
        <v>38</v>
      </c>
      <c r="I9" s="70" t="s">
        <v>40</v>
      </c>
      <c r="J9" s="70" t="s">
        <v>40</v>
      </c>
      <c r="K9" s="70" t="s">
        <v>40</v>
      </c>
      <c r="L9" s="70" t="s">
        <v>39</v>
      </c>
      <c r="M9" s="70" t="s">
        <v>39</v>
      </c>
      <c r="N9" s="70" t="s">
        <v>40</v>
      </c>
      <c r="O9" s="70" t="s">
        <v>40</v>
      </c>
      <c r="P9" s="70" t="s">
        <v>38</v>
      </c>
      <c r="Q9" s="70" t="s">
        <v>38</v>
      </c>
      <c r="R9" s="70" t="s">
        <v>39</v>
      </c>
      <c r="S9" s="70" t="s">
        <v>40</v>
      </c>
      <c r="T9" s="70" t="s">
        <v>40</v>
      </c>
      <c r="U9" s="70" t="s">
        <v>40</v>
      </c>
      <c r="V9" s="70" t="s">
        <v>39</v>
      </c>
      <c r="W9" s="60" t="s">
        <v>40</v>
      </c>
      <c r="X9" s="60" t="s">
        <v>40</v>
      </c>
      <c r="Y9" s="60" t="s">
        <v>38</v>
      </c>
      <c r="Z9" s="60" t="s">
        <v>38</v>
      </c>
      <c r="AA9" s="60" t="s">
        <v>38</v>
      </c>
      <c r="AB9" s="61" t="s">
        <v>40</v>
      </c>
      <c r="AC9" s="61" t="s">
        <v>40</v>
      </c>
      <c r="AG9" s="49">
        <f t="shared" si="1"/>
        <v>8</v>
      </c>
      <c r="AH9" s="49">
        <f t="shared" si="2"/>
        <v>6</v>
      </c>
      <c r="AI9" s="49">
        <f t="shared" si="3"/>
        <v>14</v>
      </c>
      <c r="AJ9" s="49">
        <f t="shared" si="4"/>
        <v>0</v>
      </c>
      <c r="AK9" s="49">
        <f t="shared" si="5"/>
        <v>14</v>
      </c>
      <c r="AL9" s="49">
        <f t="shared" si="6"/>
        <v>42</v>
      </c>
    </row>
    <row r="10">
      <c r="A10" s="13" t="s">
        <v>48</v>
      </c>
      <c r="B10" s="69" t="s">
        <v>41</v>
      </c>
      <c r="C10" s="69" t="s">
        <v>41</v>
      </c>
      <c r="D10" s="69" t="s">
        <v>41</v>
      </c>
      <c r="E10" s="69" t="s">
        <v>41</v>
      </c>
      <c r="F10" s="69" t="s">
        <v>41</v>
      </c>
      <c r="G10" s="69" t="s">
        <v>68</v>
      </c>
      <c r="H10" s="69" t="s">
        <v>68</v>
      </c>
      <c r="I10" s="69" t="s">
        <v>40</v>
      </c>
      <c r="J10" s="69" t="s">
        <v>39</v>
      </c>
      <c r="K10" s="69" t="s">
        <v>39</v>
      </c>
      <c r="L10" s="69" t="s">
        <v>40</v>
      </c>
      <c r="M10" s="69" t="s">
        <v>40</v>
      </c>
      <c r="N10" s="69" t="s">
        <v>38</v>
      </c>
      <c r="O10" s="69" t="s">
        <v>38</v>
      </c>
      <c r="P10" s="69" t="s">
        <v>40</v>
      </c>
      <c r="Q10" s="69" t="s">
        <v>40</v>
      </c>
      <c r="R10" s="69" t="s">
        <v>40</v>
      </c>
      <c r="S10" s="69" t="s">
        <v>39</v>
      </c>
      <c r="T10" s="69" t="s">
        <v>39</v>
      </c>
      <c r="U10" s="69" t="s">
        <v>39</v>
      </c>
      <c r="V10" s="69" t="s">
        <v>40</v>
      </c>
      <c r="W10" s="70" t="s">
        <v>38</v>
      </c>
      <c r="X10" s="70" t="s">
        <v>38</v>
      </c>
      <c r="Y10" s="70" t="s">
        <v>40</v>
      </c>
      <c r="Z10" s="70" t="s">
        <v>40</v>
      </c>
      <c r="AA10" s="70" t="s">
        <v>40</v>
      </c>
      <c r="AB10" s="70" t="s">
        <v>39</v>
      </c>
      <c r="AC10" s="70" t="s">
        <v>39</v>
      </c>
      <c r="AG10" s="49">
        <f t="shared" si="1"/>
        <v>4</v>
      </c>
      <c r="AH10" s="49">
        <f t="shared" si="2"/>
        <v>7</v>
      </c>
      <c r="AI10" s="49">
        <f t="shared" si="3"/>
        <v>10</v>
      </c>
      <c r="AJ10" s="49">
        <f t="shared" si="4"/>
        <v>5</v>
      </c>
      <c r="AK10" s="49">
        <f t="shared" si="5"/>
        <v>16</v>
      </c>
      <c r="AL10" s="49">
        <f t="shared" si="6"/>
        <v>43</v>
      </c>
    </row>
    <row r="11">
      <c r="A11" s="13" t="s">
        <v>73</v>
      </c>
      <c r="B11" s="60" t="s">
        <v>38</v>
      </c>
      <c r="C11" s="60" t="s">
        <v>38</v>
      </c>
      <c r="D11" s="60" t="s">
        <v>40</v>
      </c>
      <c r="E11" s="60" t="s">
        <v>40</v>
      </c>
      <c r="F11" s="60" t="s">
        <v>40</v>
      </c>
      <c r="G11" s="61" t="s">
        <v>39</v>
      </c>
      <c r="H11" s="61" t="s">
        <v>40</v>
      </c>
      <c r="I11" s="69" t="s">
        <v>41</v>
      </c>
      <c r="J11" s="69" t="s">
        <v>41</v>
      </c>
      <c r="K11" s="69" t="s">
        <v>41</v>
      </c>
      <c r="L11" s="69" t="s">
        <v>41</v>
      </c>
      <c r="M11" s="69" t="s">
        <v>41</v>
      </c>
      <c r="N11" s="69" t="s">
        <v>68</v>
      </c>
      <c r="O11" s="69" t="s">
        <v>68</v>
      </c>
      <c r="P11" s="70" t="s">
        <v>39</v>
      </c>
      <c r="Q11" s="70" t="s">
        <v>39</v>
      </c>
      <c r="R11" s="70" t="s">
        <v>40</v>
      </c>
      <c r="S11" s="70" t="s">
        <v>40</v>
      </c>
      <c r="T11" s="70" t="s">
        <v>40</v>
      </c>
      <c r="U11" s="70" t="s">
        <v>38</v>
      </c>
      <c r="V11" s="70" t="s">
        <v>38</v>
      </c>
      <c r="W11" s="69" t="s">
        <v>40</v>
      </c>
      <c r="X11" s="69" t="s">
        <v>40</v>
      </c>
      <c r="Y11" s="69" t="s">
        <v>39</v>
      </c>
      <c r="Z11" s="69" t="s">
        <v>39</v>
      </c>
      <c r="AA11" s="69" t="s">
        <v>39</v>
      </c>
      <c r="AB11" s="69" t="s">
        <v>40</v>
      </c>
      <c r="AC11" s="69" t="s">
        <v>40</v>
      </c>
      <c r="AG11" s="49">
        <f t="shared" si="1"/>
        <v>4</v>
      </c>
      <c r="AH11" s="49">
        <f t="shared" si="2"/>
        <v>6</v>
      </c>
      <c r="AI11" s="49">
        <f t="shared" si="3"/>
        <v>11</v>
      </c>
      <c r="AJ11" s="49">
        <f t="shared" si="4"/>
        <v>5</v>
      </c>
      <c r="AK11" s="49">
        <f t="shared" si="5"/>
        <v>15</v>
      </c>
      <c r="AL11" s="49">
        <f t="shared" si="6"/>
        <v>40</v>
      </c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1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32"/>
      <c r="J16" s="28"/>
      <c r="K16" s="28"/>
      <c r="L16" s="62" t="s">
        <v>77</v>
      </c>
      <c r="M16" s="28"/>
      <c r="N16" s="28"/>
      <c r="O16" s="28"/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9" t="s">
        <v>2</v>
      </c>
      <c r="K17" s="9" t="s">
        <v>3</v>
      </c>
      <c r="L17" s="9" t="s">
        <v>4</v>
      </c>
      <c r="M17" s="9" t="s">
        <v>5</v>
      </c>
      <c r="N17" s="9" t="s">
        <v>6</v>
      </c>
      <c r="O17" s="9" t="s">
        <v>7</v>
      </c>
      <c r="P17" s="9" t="s">
        <v>8</v>
      </c>
      <c r="Q17" s="13"/>
      <c r="R17" s="11"/>
      <c r="S17" s="11"/>
      <c r="T17" s="11"/>
      <c r="U17" s="11"/>
      <c r="V17" s="11"/>
      <c r="W17" s="11"/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 t="s">
        <v>25</v>
      </c>
      <c r="K18" s="13" t="s">
        <v>26</v>
      </c>
      <c r="L18" s="13" t="s">
        <v>27</v>
      </c>
      <c r="M18" s="13" t="s">
        <v>28</v>
      </c>
      <c r="N18" s="13" t="s">
        <v>29</v>
      </c>
      <c r="O18" s="13" t="s">
        <v>30</v>
      </c>
      <c r="P18" s="13" t="s">
        <v>31</v>
      </c>
      <c r="Q18" s="13"/>
      <c r="R18" s="13"/>
      <c r="S18" s="13"/>
      <c r="T18" s="13"/>
      <c r="U18" s="13"/>
      <c r="V18" s="13"/>
      <c r="W18" s="13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J20" s="1" t="s">
        <v>38</v>
      </c>
      <c r="K20" s="1" t="s">
        <v>38</v>
      </c>
      <c r="L20" s="1" t="s">
        <v>40</v>
      </c>
      <c r="M20" s="1" t="s">
        <v>40</v>
      </c>
      <c r="N20" s="1" t="s">
        <v>40</v>
      </c>
      <c r="O20" s="1" t="s">
        <v>39</v>
      </c>
      <c r="P20" s="1" t="s">
        <v>39</v>
      </c>
      <c r="Q20" s="19" t="s">
        <v>43</v>
      </c>
      <c r="T20" s="20"/>
      <c r="U20" s="20"/>
      <c r="V20" s="20"/>
      <c r="W20" s="20"/>
      <c r="X20" s="19"/>
    </row>
    <row r="21">
      <c r="E21" s="33" t="s">
        <v>40</v>
      </c>
      <c r="F21" s="1" t="s">
        <v>57</v>
      </c>
      <c r="H21" s="34"/>
      <c r="J21" s="59" t="s">
        <v>39</v>
      </c>
      <c r="K21" s="59" t="s">
        <v>39</v>
      </c>
      <c r="L21" s="59" t="s">
        <v>40</v>
      </c>
      <c r="M21" s="59" t="s">
        <v>40</v>
      </c>
      <c r="N21" s="59" t="s">
        <v>40</v>
      </c>
      <c r="O21" s="59" t="s">
        <v>38</v>
      </c>
      <c r="P21" s="59" t="s">
        <v>38</v>
      </c>
      <c r="Q21" s="13" t="s">
        <v>45</v>
      </c>
      <c r="T21" s="20"/>
      <c r="U21" s="20"/>
      <c r="V21" s="20"/>
      <c r="W21" s="20"/>
      <c r="X21" s="13"/>
    </row>
    <row r="22">
      <c r="E22" s="33" t="s">
        <v>58</v>
      </c>
      <c r="F22" s="1" t="s">
        <v>59</v>
      </c>
      <c r="H22" s="34"/>
      <c r="I22" s="20"/>
      <c r="J22" s="56" t="s">
        <v>41</v>
      </c>
      <c r="K22" s="56" t="s">
        <v>41</v>
      </c>
      <c r="L22" s="56" t="s">
        <v>41</v>
      </c>
      <c r="M22" s="56" t="s">
        <v>41</v>
      </c>
      <c r="N22" s="56" t="s">
        <v>41</v>
      </c>
      <c r="O22" s="58" t="s">
        <v>68</v>
      </c>
      <c r="P22" s="58" t="s">
        <v>68</v>
      </c>
      <c r="Q22" s="13" t="s">
        <v>47</v>
      </c>
      <c r="T22" s="20"/>
      <c r="U22" s="20"/>
      <c r="V22" s="20"/>
      <c r="W22" s="20"/>
      <c r="X22" s="13"/>
    </row>
    <row r="23">
      <c r="E23" s="33" t="s">
        <v>60</v>
      </c>
      <c r="F23" s="1" t="s">
        <v>61</v>
      </c>
      <c r="H23" s="34"/>
      <c r="I23" s="20"/>
      <c r="J23" s="59" t="s">
        <v>40</v>
      </c>
      <c r="K23" s="59" t="s">
        <v>40</v>
      </c>
      <c r="L23" s="59" t="s">
        <v>39</v>
      </c>
      <c r="M23" s="59" t="s">
        <v>39</v>
      </c>
      <c r="N23" s="59" t="s">
        <v>39</v>
      </c>
      <c r="O23" s="59" t="s">
        <v>40</v>
      </c>
      <c r="P23" s="59" t="s">
        <v>40</v>
      </c>
      <c r="Q23" s="13" t="s">
        <v>48</v>
      </c>
      <c r="T23" s="20"/>
      <c r="U23" s="20"/>
      <c r="V23" s="20"/>
      <c r="W23" s="20"/>
      <c r="X23" s="13"/>
    </row>
    <row r="24">
      <c r="E24" s="33" t="s">
        <v>44</v>
      </c>
      <c r="F24" s="1" t="s">
        <v>62</v>
      </c>
      <c r="H24" s="34"/>
      <c r="I24" s="20"/>
      <c r="J24" s="55" t="s">
        <v>40</v>
      </c>
      <c r="K24" s="55" t="s">
        <v>40</v>
      </c>
      <c r="L24" s="55" t="s">
        <v>38</v>
      </c>
      <c r="M24" s="55" t="s">
        <v>38</v>
      </c>
      <c r="N24" s="55" t="s">
        <v>38</v>
      </c>
      <c r="O24" s="55" t="s">
        <v>40</v>
      </c>
      <c r="P24" s="55" t="s">
        <v>40</v>
      </c>
      <c r="Q24" s="13" t="s">
        <v>73</v>
      </c>
      <c r="T24" s="20"/>
      <c r="U24" s="20"/>
      <c r="V24" s="20"/>
      <c r="W24" s="20"/>
      <c r="X24" s="13"/>
    </row>
    <row r="25">
      <c r="E25" s="33" t="s">
        <v>63</v>
      </c>
      <c r="F25" s="1" t="s">
        <v>64</v>
      </c>
      <c r="H25" s="34"/>
      <c r="K25" s="20"/>
      <c r="L25" s="20"/>
      <c r="M25" s="20"/>
      <c r="N25" s="20"/>
      <c r="O25" s="20"/>
      <c r="P25" s="20"/>
      <c r="Q25" s="20"/>
    </row>
    <row r="26">
      <c r="E26" s="33" t="s">
        <v>65</v>
      </c>
      <c r="F26" s="1" t="s">
        <v>66</v>
      </c>
      <c r="H26" s="34"/>
    </row>
    <row r="27">
      <c r="E27" s="33" t="s">
        <v>46</v>
      </c>
      <c r="F27" s="1" t="s">
        <v>67</v>
      </c>
      <c r="H27" s="34"/>
    </row>
    <row r="28">
      <c r="E28" s="35" t="s">
        <v>68</v>
      </c>
      <c r="F28" s="36" t="s">
        <v>69</v>
      </c>
      <c r="G28" s="8"/>
      <c r="H28" s="37"/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14">
    <mergeCell ref="F22:H22"/>
    <mergeCell ref="F23:H23"/>
    <mergeCell ref="F24:H24"/>
    <mergeCell ref="F25:H25"/>
    <mergeCell ref="F26:H26"/>
    <mergeCell ref="F27:H27"/>
    <mergeCell ref="F28:H28"/>
    <mergeCell ref="B1:AC3"/>
    <mergeCell ref="E16:H16"/>
    <mergeCell ref="F17:H17"/>
    <mergeCell ref="F18:H18"/>
    <mergeCell ref="F19:H19"/>
    <mergeCell ref="F20:H20"/>
    <mergeCell ref="F21:H21"/>
  </mergeCells>
  <conditionalFormatting sqref="B9:H9 T22:W22">
    <cfRule type="cellIs" dxfId="0" priority="1" operator="equal">
      <formula>"X"</formula>
    </cfRule>
  </conditionalFormatting>
  <conditionalFormatting sqref="B9:H9 T22:W22">
    <cfRule type="cellIs" dxfId="1" priority="2" operator="equal">
      <formula>"D"</formula>
    </cfRule>
  </conditionalFormatting>
  <conditionalFormatting sqref="B9:H9 T22:W22">
    <cfRule type="cellIs" dxfId="2" priority="3" operator="equal">
      <formula>"N"</formula>
    </cfRule>
  </conditionalFormatting>
  <conditionalFormatting sqref="B9:H9 T22:W22">
    <cfRule type="cellIs" dxfId="3" priority="4" operator="equal">
      <formula>"OB"</formula>
    </cfRule>
  </conditionalFormatting>
  <conditionalFormatting sqref="B9:H9 T22:W22">
    <cfRule type="cellIs" dxfId="0" priority="5" operator="equal">
      <formula>"C"</formula>
    </cfRule>
  </conditionalFormatting>
  <conditionalFormatting sqref="B9:H9 T22:W22">
    <cfRule type="cellIs" dxfId="0" priority="6" operator="equal">
      <formula>"AL"</formula>
    </cfRule>
  </conditionalFormatting>
  <conditionalFormatting sqref="B9:H9 T22:W22">
    <cfRule type="cellIs" dxfId="4" priority="7" operator="equal">
      <formula>"UP"</formula>
    </cfRule>
  </conditionalFormatting>
  <conditionalFormatting sqref="B9:H9 T22:W22">
    <cfRule type="cellIs" dxfId="0" priority="8" operator="equal">
      <formula>"S"</formula>
    </cfRule>
  </conditionalFormatting>
  <conditionalFormatting sqref="B9:H9 T22:W22">
    <cfRule type="cellIs" dxfId="5" priority="9" operator="equal">
      <formula>"OC"</formula>
    </cfRule>
  </conditionalFormatting>
  <conditionalFormatting sqref="B9:H9 T22:W22">
    <cfRule type="cellIs" dxfId="6" priority="10" operator="equal">
      <formula>"SPV"</formula>
    </cfRule>
  </conditionalFormatting>
  <conditionalFormatting sqref="B9:H9 T22:W22">
    <cfRule type="cellIs" dxfId="7" priority="11" operator="equal">
      <formula>"INT"</formula>
    </cfRule>
  </conditionalFormatting>
  <conditionalFormatting sqref="B9:H9 T22:W22">
    <cfRule type="cellIs" dxfId="8" priority="12" operator="equal">
      <formula>"T"</formula>
    </cfRule>
  </conditionalFormatting>
  <conditionalFormatting sqref="B7:AC11 E17:E28 J20:J24 K20:P25 T20:W21 I22:I24 T23:W24 Q25 B33:H36 G38:J38">
    <cfRule type="cellIs" dxfId="0" priority="13" operator="equal">
      <formula>"X"</formula>
    </cfRule>
  </conditionalFormatting>
  <conditionalFormatting sqref="B7:AC11 E17:E28 J20:J24 K20:P25 T20:W21 I22:I24 T23:W24 Q25 B33:H36 G38:J38">
    <cfRule type="cellIs" dxfId="1" priority="14" operator="equal">
      <formula>"D"</formula>
    </cfRule>
  </conditionalFormatting>
  <conditionalFormatting sqref="B7:AC11 E17:E28 J20:J24 K20:P25 T20:W21 I22:I24 T23:W24 Q25 B33:H36 G38:J38">
    <cfRule type="cellIs" dxfId="2" priority="15" operator="equal">
      <formula>"N"</formula>
    </cfRule>
  </conditionalFormatting>
  <conditionalFormatting sqref="B7:AC11 E17:E28 J20:J24 K20:P25 T20:W21 I22:I24 T23:W24 Q25 B33:H36 G38:J38">
    <cfRule type="cellIs" dxfId="3" priority="16" operator="equal">
      <formula>"OB"</formula>
    </cfRule>
  </conditionalFormatting>
  <conditionalFormatting sqref="B7:AC11 E17:E28 J20:J24 K20:P25 T20:W21 I22:I24 T23:W24 Q25 B33:H36 G38:J38">
    <cfRule type="cellIs" dxfId="0" priority="17" operator="equal">
      <formula>"C"</formula>
    </cfRule>
  </conditionalFormatting>
  <conditionalFormatting sqref="B7:AC11 E17:E28 J20:J24 K20:P25 T20:W21 I22:I24 T23:W24 Q25 B33:H36 G38:J38">
    <cfRule type="cellIs" dxfId="0" priority="18" operator="equal">
      <formula>"AL"</formula>
    </cfRule>
  </conditionalFormatting>
  <conditionalFormatting sqref="B7:AC11 E17:E28 J20:J24 K20:P25 T20:W21 I22:I24 T23:W24 Q25 B33:H36 G38:J38">
    <cfRule type="cellIs" dxfId="4" priority="19" operator="equal">
      <formula>"UP"</formula>
    </cfRule>
  </conditionalFormatting>
  <conditionalFormatting sqref="B7:AC11 E17:E28 J20:J24 K20:P25 T20:W21 I22:I24 T23:W24 Q25 B33:H36 G38:J38">
    <cfRule type="cellIs" dxfId="0" priority="20" operator="equal">
      <formula>"S"</formula>
    </cfRule>
  </conditionalFormatting>
  <conditionalFormatting sqref="B7:AC11 E17:E28 J20:J24 K20:P25 T20:W21 I22:I24 T23:W24 Q25 B33:H36 G38:J38">
    <cfRule type="cellIs" dxfId="5" priority="21" operator="equal">
      <formula>"OC"</formula>
    </cfRule>
  </conditionalFormatting>
  <conditionalFormatting sqref="B7:AC11 E17:E28 J20:J24 K20:P25 T20:W21 I22:I24 T23:W24 Q25 B33:H36 G38:J38">
    <cfRule type="cellIs" dxfId="6" priority="22" operator="equal">
      <formula>"SPV"</formula>
    </cfRule>
  </conditionalFormatting>
  <conditionalFormatting sqref="B7:AC11 E17:E28 J20:J24 K20:P25 T20:W21 I22:I24 T23:W24 Q25 B33:H36 G38:J38">
    <cfRule type="cellIs" dxfId="7" priority="23" operator="equal">
      <formula>"INT"</formula>
    </cfRule>
  </conditionalFormatting>
  <conditionalFormatting sqref="B7:AC11 J20:P24 T20:W21 T23:W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79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  <c r="I5" s="13" t="s">
        <v>37</v>
      </c>
      <c r="J5" s="13" t="s">
        <v>70</v>
      </c>
      <c r="K5" s="13" t="s">
        <v>71</v>
      </c>
      <c r="L5" s="13" t="s">
        <v>75</v>
      </c>
      <c r="M5" s="13" t="s">
        <v>10</v>
      </c>
      <c r="N5" s="13" t="s">
        <v>11</v>
      </c>
      <c r="O5" s="13" t="s">
        <v>12</v>
      </c>
      <c r="P5" s="13" t="s">
        <v>13</v>
      </c>
      <c r="Q5" s="13" t="s">
        <v>14</v>
      </c>
      <c r="R5" s="13" t="s">
        <v>15</v>
      </c>
      <c r="S5" s="13" t="s">
        <v>16</v>
      </c>
      <c r="T5" s="13" t="s">
        <v>17</v>
      </c>
      <c r="U5" s="13" t="s">
        <v>18</v>
      </c>
      <c r="V5" s="13" t="s">
        <v>19</v>
      </c>
      <c r="W5" s="13" t="s">
        <v>20</v>
      </c>
      <c r="X5" s="13" t="s">
        <v>21</v>
      </c>
      <c r="Y5" s="13" t="s">
        <v>22</v>
      </c>
      <c r="Z5" s="13" t="s">
        <v>23</v>
      </c>
      <c r="AA5" s="13" t="s">
        <v>24</v>
      </c>
      <c r="AB5" s="13" t="s">
        <v>25</v>
      </c>
      <c r="AC5" s="13" t="s">
        <v>26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69" t="s">
        <v>38</v>
      </c>
      <c r="C7" s="69" t="s">
        <v>40</v>
      </c>
      <c r="D7" s="69" t="s">
        <v>40</v>
      </c>
      <c r="E7" s="69" t="s">
        <v>39</v>
      </c>
      <c r="F7" s="69" t="s">
        <v>40</v>
      </c>
      <c r="G7" s="69" t="s">
        <v>39</v>
      </c>
      <c r="H7" s="69" t="s">
        <v>40</v>
      </c>
      <c r="I7" s="60" t="s">
        <v>38</v>
      </c>
      <c r="J7" s="60" t="s">
        <v>38</v>
      </c>
      <c r="K7" s="60" t="s">
        <v>40</v>
      </c>
      <c r="L7" s="60" t="s">
        <v>40</v>
      </c>
      <c r="M7" s="60" t="s">
        <v>39</v>
      </c>
      <c r="N7" s="61" t="s">
        <v>39</v>
      </c>
      <c r="O7" s="61" t="s">
        <v>39</v>
      </c>
      <c r="P7" s="70" t="s">
        <v>40</v>
      </c>
      <c r="Q7" s="70" t="s">
        <v>40</v>
      </c>
      <c r="R7" s="70" t="s">
        <v>38</v>
      </c>
      <c r="S7" s="70" t="s">
        <v>38</v>
      </c>
      <c r="T7" s="70" t="s">
        <v>40</v>
      </c>
      <c r="U7" s="70" t="s">
        <v>40</v>
      </c>
      <c r="V7" s="70" t="s">
        <v>40</v>
      </c>
      <c r="W7" s="71" t="s">
        <v>41</v>
      </c>
      <c r="X7" s="71" t="s">
        <v>41</v>
      </c>
      <c r="Y7" s="71" t="s">
        <v>41</v>
      </c>
      <c r="Z7" s="71" t="s">
        <v>41</v>
      </c>
      <c r="AA7" s="71" t="s">
        <v>41</v>
      </c>
      <c r="AB7" s="71" t="s">
        <v>68</v>
      </c>
      <c r="AC7" s="71" t="s">
        <v>38</v>
      </c>
      <c r="AG7" s="49">
        <f t="shared" ref="AG7:AG11" si="1">COUNTIF(B7:AC7,"D")</f>
        <v>6</v>
      </c>
      <c r="AH7" s="49">
        <f t="shared" ref="AH7:AH11" si="2">COUNTIF(B7:AC7,"N")</f>
        <v>5</v>
      </c>
      <c r="AI7" s="49">
        <f t="shared" ref="AI7:AI11" si="3">COUNTIF(B7:AC7,"X")</f>
        <v>11</v>
      </c>
      <c r="AJ7" s="49">
        <f t="shared" ref="AJ7:AJ11" si="4">COUNTIF(B7:AC7,"INT")</f>
        <v>5</v>
      </c>
      <c r="AK7" s="49">
        <f t="shared" ref="AK7:AK11" si="5">SUM(AG7+AH7+AJ7)</f>
        <v>16</v>
      </c>
      <c r="AL7" s="49">
        <f t="shared" ref="AL7:AL11" si="6">((AG7*12)+(AH7*12)+(AJ7*8))/4</f>
        <v>43</v>
      </c>
    </row>
    <row r="8">
      <c r="A8" s="13" t="s">
        <v>45</v>
      </c>
      <c r="B8" s="69" t="s">
        <v>39</v>
      </c>
      <c r="C8" s="69" t="s">
        <v>39</v>
      </c>
      <c r="D8" s="69" t="s">
        <v>39</v>
      </c>
      <c r="E8" s="69" t="s">
        <v>40</v>
      </c>
      <c r="F8" s="69" t="s">
        <v>40</v>
      </c>
      <c r="G8" s="69" t="s">
        <v>38</v>
      </c>
      <c r="H8" s="69" t="s">
        <v>38</v>
      </c>
      <c r="I8" s="69" t="s">
        <v>40</v>
      </c>
      <c r="J8" s="69" t="s">
        <v>40</v>
      </c>
      <c r="K8" s="69" t="s">
        <v>39</v>
      </c>
      <c r="L8" s="69" t="s">
        <v>39</v>
      </c>
      <c r="M8" s="69" t="s">
        <v>40</v>
      </c>
      <c r="N8" s="69" t="s">
        <v>40</v>
      </c>
      <c r="O8" s="69" t="s">
        <v>40</v>
      </c>
      <c r="P8" s="60" t="s">
        <v>38</v>
      </c>
      <c r="Q8" s="60" t="s">
        <v>38</v>
      </c>
      <c r="R8" s="60" t="s">
        <v>40</v>
      </c>
      <c r="S8" s="60" t="s">
        <v>40</v>
      </c>
      <c r="T8" s="60" t="s">
        <v>39</v>
      </c>
      <c r="U8" s="61" t="s">
        <v>39</v>
      </c>
      <c r="V8" s="61" t="s">
        <v>39</v>
      </c>
      <c r="W8" s="70" t="s">
        <v>40</v>
      </c>
      <c r="X8" s="70" t="s">
        <v>40</v>
      </c>
      <c r="Y8" s="70" t="s">
        <v>40</v>
      </c>
      <c r="Z8" s="70" t="s">
        <v>38</v>
      </c>
      <c r="AA8" s="70" t="s">
        <v>38</v>
      </c>
      <c r="AB8" s="70" t="s">
        <v>40</v>
      </c>
      <c r="AC8" s="70" t="s">
        <v>40</v>
      </c>
      <c r="AG8" s="49">
        <f t="shared" si="1"/>
        <v>6</v>
      </c>
      <c r="AH8" s="49">
        <f t="shared" si="2"/>
        <v>8</v>
      </c>
      <c r="AI8" s="49">
        <f t="shared" si="3"/>
        <v>14</v>
      </c>
      <c r="AJ8" s="49">
        <f t="shared" si="4"/>
        <v>0</v>
      </c>
      <c r="AK8" s="49">
        <f t="shared" si="5"/>
        <v>14</v>
      </c>
      <c r="AL8" s="49">
        <f t="shared" si="6"/>
        <v>42</v>
      </c>
    </row>
    <row r="9">
      <c r="A9" s="13" t="s">
        <v>47</v>
      </c>
      <c r="B9" s="60" t="s">
        <v>41</v>
      </c>
      <c r="C9" s="60" t="s">
        <v>41</v>
      </c>
      <c r="D9" s="60" t="s">
        <v>41</v>
      </c>
      <c r="E9" s="60" t="s">
        <v>41</v>
      </c>
      <c r="F9" s="60" t="s">
        <v>41</v>
      </c>
      <c r="G9" s="61" t="s">
        <v>68</v>
      </c>
      <c r="H9" s="61" t="s">
        <v>68</v>
      </c>
      <c r="I9" s="70" t="s">
        <v>39</v>
      </c>
      <c r="J9" s="70" t="s">
        <v>39</v>
      </c>
      <c r="K9" s="70" t="s">
        <v>40</v>
      </c>
      <c r="L9" s="70" t="s">
        <v>40</v>
      </c>
      <c r="M9" s="70" t="s">
        <v>40</v>
      </c>
      <c r="N9" s="70" t="s">
        <v>38</v>
      </c>
      <c r="O9" s="70" t="s">
        <v>38</v>
      </c>
      <c r="P9" s="70" t="s">
        <v>40</v>
      </c>
      <c r="Q9" s="70" t="s">
        <v>40</v>
      </c>
      <c r="R9" s="70" t="s">
        <v>39</v>
      </c>
      <c r="S9" s="70" t="s">
        <v>39</v>
      </c>
      <c r="T9" s="70" t="s">
        <v>40</v>
      </c>
      <c r="U9" s="70" t="s">
        <v>40</v>
      </c>
      <c r="V9" s="70" t="s">
        <v>40</v>
      </c>
      <c r="W9" s="60" t="s">
        <v>38</v>
      </c>
      <c r="X9" s="60" t="s">
        <v>38</v>
      </c>
      <c r="Y9" s="60" t="s">
        <v>38</v>
      </c>
      <c r="Z9" s="60" t="s">
        <v>40</v>
      </c>
      <c r="AA9" s="60" t="s">
        <v>40</v>
      </c>
      <c r="AB9" s="61" t="s">
        <v>39</v>
      </c>
      <c r="AC9" s="61" t="s">
        <v>39</v>
      </c>
      <c r="AG9" s="49">
        <f t="shared" si="1"/>
        <v>5</v>
      </c>
      <c r="AH9" s="49">
        <f t="shared" si="2"/>
        <v>6</v>
      </c>
      <c r="AI9" s="49">
        <f t="shared" si="3"/>
        <v>10</v>
      </c>
      <c r="AJ9" s="49">
        <f t="shared" si="4"/>
        <v>5</v>
      </c>
      <c r="AK9" s="49">
        <f t="shared" si="5"/>
        <v>16</v>
      </c>
      <c r="AL9" s="49">
        <f t="shared" si="6"/>
        <v>43</v>
      </c>
    </row>
    <row r="10">
      <c r="A10" s="13" t="s">
        <v>48</v>
      </c>
      <c r="B10" s="69" t="s">
        <v>40</v>
      </c>
      <c r="C10" s="69" t="s">
        <v>40</v>
      </c>
      <c r="D10" s="69" t="s">
        <v>40</v>
      </c>
      <c r="E10" s="69" t="s">
        <v>38</v>
      </c>
      <c r="F10" s="69" t="s">
        <v>38</v>
      </c>
      <c r="G10" s="69" t="s">
        <v>40</v>
      </c>
      <c r="H10" s="69" t="s">
        <v>40</v>
      </c>
      <c r="I10" s="69" t="s">
        <v>41</v>
      </c>
      <c r="J10" s="69" t="s">
        <v>41</v>
      </c>
      <c r="K10" s="69" t="s">
        <v>40</v>
      </c>
      <c r="L10" s="69" t="s">
        <v>41</v>
      </c>
      <c r="M10" s="69" t="s">
        <v>41</v>
      </c>
      <c r="N10" s="69" t="s">
        <v>68</v>
      </c>
      <c r="O10" s="69" t="s">
        <v>68</v>
      </c>
      <c r="P10" s="69" t="s">
        <v>39</v>
      </c>
      <c r="Q10" s="69" t="s">
        <v>39</v>
      </c>
      <c r="R10" s="69" t="s">
        <v>40</v>
      </c>
      <c r="S10" s="69" t="s">
        <v>40</v>
      </c>
      <c r="T10" s="69" t="s">
        <v>38</v>
      </c>
      <c r="U10" s="69" t="s">
        <v>38</v>
      </c>
      <c r="V10" s="69" t="s">
        <v>38</v>
      </c>
      <c r="W10" s="70" t="s">
        <v>40</v>
      </c>
      <c r="X10" s="70" t="s">
        <v>40</v>
      </c>
      <c r="Y10" s="70" t="s">
        <v>39</v>
      </c>
      <c r="Z10" s="70" t="s">
        <v>39</v>
      </c>
      <c r="AA10" s="70" t="s">
        <v>39</v>
      </c>
      <c r="AB10" s="70" t="s">
        <v>40</v>
      </c>
      <c r="AC10" s="70" t="s">
        <v>40</v>
      </c>
      <c r="AG10" s="49">
        <f t="shared" si="1"/>
        <v>5</v>
      </c>
      <c r="AH10" s="49">
        <f t="shared" si="2"/>
        <v>5</v>
      </c>
      <c r="AI10" s="49">
        <f t="shared" si="3"/>
        <v>12</v>
      </c>
      <c r="AJ10" s="49">
        <f t="shared" si="4"/>
        <v>4</v>
      </c>
      <c r="AK10" s="49">
        <f t="shared" si="5"/>
        <v>14</v>
      </c>
      <c r="AL10" s="49">
        <f t="shared" si="6"/>
        <v>38</v>
      </c>
    </row>
    <row r="11">
      <c r="A11" s="13" t="s">
        <v>73</v>
      </c>
      <c r="B11" s="60" t="s">
        <v>40</v>
      </c>
      <c r="C11" s="60" t="s">
        <v>38</v>
      </c>
      <c r="D11" s="60" t="s">
        <v>38</v>
      </c>
      <c r="E11" s="60" t="s">
        <v>40</v>
      </c>
      <c r="F11" s="60" t="s">
        <v>39</v>
      </c>
      <c r="G11" s="61" t="s">
        <v>40</v>
      </c>
      <c r="H11" s="61" t="s">
        <v>39</v>
      </c>
      <c r="I11" s="69" t="s">
        <v>40</v>
      </c>
      <c r="J11" s="69" t="s">
        <v>40</v>
      </c>
      <c r="K11" s="69" t="s">
        <v>38</v>
      </c>
      <c r="L11" s="69" t="s">
        <v>38</v>
      </c>
      <c r="M11" s="69" t="s">
        <v>38</v>
      </c>
      <c r="N11" s="69" t="s">
        <v>40</v>
      </c>
      <c r="O11" s="69" t="s">
        <v>40</v>
      </c>
      <c r="P11" s="70" t="s">
        <v>41</v>
      </c>
      <c r="Q11" s="70" t="s">
        <v>41</v>
      </c>
      <c r="R11" s="70" t="s">
        <v>41</v>
      </c>
      <c r="S11" s="70" t="s">
        <v>41</v>
      </c>
      <c r="T11" s="70" t="s">
        <v>41</v>
      </c>
      <c r="U11" s="70" t="s">
        <v>68</v>
      </c>
      <c r="V11" s="70" t="s">
        <v>39</v>
      </c>
      <c r="W11" s="69" t="s">
        <v>39</v>
      </c>
      <c r="X11" s="69" t="s">
        <v>39</v>
      </c>
      <c r="Y11" s="69" t="s">
        <v>40</v>
      </c>
      <c r="Z11" s="69" t="s">
        <v>40</v>
      </c>
      <c r="AA11" s="69" t="s">
        <v>40</v>
      </c>
      <c r="AB11" s="69" t="s">
        <v>38</v>
      </c>
      <c r="AC11" s="69" t="s">
        <v>60</v>
      </c>
      <c r="AG11" s="49">
        <f t="shared" si="1"/>
        <v>6</v>
      </c>
      <c r="AH11" s="49">
        <f t="shared" si="2"/>
        <v>5</v>
      </c>
      <c r="AI11" s="49">
        <f t="shared" si="3"/>
        <v>10</v>
      </c>
      <c r="AJ11" s="49">
        <f t="shared" si="4"/>
        <v>5</v>
      </c>
      <c r="AK11" s="49">
        <f t="shared" si="5"/>
        <v>16</v>
      </c>
      <c r="AL11" s="49">
        <f t="shared" si="6"/>
        <v>43</v>
      </c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2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32"/>
      <c r="J16" s="28"/>
      <c r="K16" s="28"/>
      <c r="L16" s="62"/>
      <c r="M16" s="28"/>
      <c r="N16" s="28"/>
      <c r="O16" s="28"/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11"/>
      <c r="K17" s="11"/>
      <c r="L17" s="11"/>
      <c r="M17" s="11"/>
      <c r="N17" s="11"/>
      <c r="O17" s="11"/>
      <c r="P17" s="11"/>
      <c r="Q17" s="13"/>
      <c r="R17" s="11"/>
      <c r="S17" s="11"/>
      <c r="T17" s="11"/>
      <c r="U17" s="11"/>
      <c r="V17" s="11"/>
      <c r="W17" s="11"/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Q20" s="19"/>
      <c r="T20" s="20"/>
      <c r="U20" s="20"/>
      <c r="V20" s="20"/>
      <c r="W20" s="20"/>
      <c r="X20" s="19"/>
    </row>
    <row r="21">
      <c r="E21" s="33" t="s">
        <v>40</v>
      </c>
      <c r="F21" s="1" t="s">
        <v>57</v>
      </c>
      <c r="H21" s="34"/>
      <c r="J21" s="59"/>
      <c r="K21" s="59"/>
      <c r="L21" s="59"/>
      <c r="M21" s="59"/>
      <c r="N21" s="59"/>
      <c r="O21" s="59"/>
      <c r="P21" s="59"/>
      <c r="Q21" s="13"/>
      <c r="T21" s="20"/>
      <c r="U21" s="20"/>
      <c r="V21" s="20"/>
      <c r="W21" s="20"/>
      <c r="X21" s="13"/>
    </row>
    <row r="22">
      <c r="E22" s="33" t="s">
        <v>58</v>
      </c>
      <c r="F22" s="1" t="s">
        <v>59</v>
      </c>
      <c r="H22" s="34"/>
      <c r="I22" s="72"/>
      <c r="J22" s="73"/>
      <c r="K22" s="73"/>
      <c r="L22" s="73"/>
      <c r="M22" s="73"/>
      <c r="N22" s="73"/>
      <c r="O22" s="74"/>
      <c r="P22" s="74"/>
      <c r="Q22" s="13"/>
      <c r="T22" s="20"/>
      <c r="U22" s="20"/>
      <c r="V22" s="20"/>
      <c r="W22" s="20"/>
      <c r="X22" s="13"/>
    </row>
    <row r="23">
      <c r="E23" s="33" t="s">
        <v>60</v>
      </c>
      <c r="F23" s="1" t="s">
        <v>61</v>
      </c>
      <c r="H23" s="34"/>
      <c r="I23" s="20"/>
      <c r="J23" s="59"/>
      <c r="K23" s="59"/>
      <c r="L23" s="59"/>
      <c r="M23" s="59"/>
      <c r="N23" s="59"/>
      <c r="O23" s="59"/>
      <c r="P23" s="59"/>
      <c r="Q23" s="13"/>
      <c r="T23" s="20"/>
      <c r="U23" s="20"/>
      <c r="V23" s="20"/>
      <c r="W23" s="20"/>
      <c r="X23" s="13"/>
    </row>
    <row r="24">
      <c r="E24" s="33" t="s">
        <v>44</v>
      </c>
      <c r="F24" s="1" t="s">
        <v>62</v>
      </c>
      <c r="H24" s="34"/>
      <c r="I24" s="20"/>
      <c r="J24" s="55"/>
      <c r="K24" s="55"/>
      <c r="L24" s="55"/>
      <c r="M24" s="55"/>
      <c r="N24" s="55"/>
      <c r="O24" s="55"/>
      <c r="P24" s="55"/>
      <c r="Q24" s="13"/>
      <c r="T24" s="20"/>
      <c r="U24" s="20"/>
      <c r="V24" s="20"/>
      <c r="W24" s="20"/>
      <c r="X24" s="13"/>
    </row>
    <row r="25">
      <c r="E25" s="33" t="s">
        <v>63</v>
      </c>
      <c r="F25" s="1" t="s">
        <v>64</v>
      </c>
      <c r="H25" s="34"/>
      <c r="K25" s="20"/>
      <c r="L25" s="20"/>
      <c r="M25" s="20"/>
      <c r="N25" s="20"/>
      <c r="O25" s="20"/>
      <c r="P25" s="20"/>
      <c r="Q25" s="20"/>
    </row>
    <row r="26">
      <c r="E26" s="33" t="s">
        <v>65</v>
      </c>
      <c r="F26" s="1" t="s">
        <v>66</v>
      </c>
      <c r="H26" s="34"/>
    </row>
    <row r="27">
      <c r="E27" s="33" t="s">
        <v>46</v>
      </c>
      <c r="F27" s="1" t="s">
        <v>67</v>
      </c>
      <c r="H27" s="34"/>
    </row>
    <row r="28">
      <c r="E28" s="35" t="s">
        <v>68</v>
      </c>
      <c r="F28" s="36" t="s">
        <v>69</v>
      </c>
      <c r="G28" s="8"/>
      <c r="H28" s="37"/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14">
    <mergeCell ref="F22:H22"/>
    <mergeCell ref="F23:H23"/>
    <mergeCell ref="F24:H24"/>
    <mergeCell ref="F25:H25"/>
    <mergeCell ref="F26:H26"/>
    <mergeCell ref="F27:H27"/>
    <mergeCell ref="F28:H28"/>
    <mergeCell ref="B1:AC3"/>
    <mergeCell ref="E16:H16"/>
    <mergeCell ref="F17:H17"/>
    <mergeCell ref="F18:H18"/>
    <mergeCell ref="F19:H19"/>
    <mergeCell ref="F20:H20"/>
    <mergeCell ref="F21:H21"/>
  </mergeCells>
  <conditionalFormatting sqref="B9:H9 T22:W22">
    <cfRule type="cellIs" dxfId="0" priority="1" operator="equal">
      <formula>"X"</formula>
    </cfRule>
  </conditionalFormatting>
  <conditionalFormatting sqref="B9:H9 T22:W22">
    <cfRule type="cellIs" dxfId="1" priority="2" operator="equal">
      <formula>"D"</formula>
    </cfRule>
  </conditionalFormatting>
  <conditionalFormatting sqref="B9:H9 T22:W22">
    <cfRule type="cellIs" dxfId="2" priority="3" operator="equal">
      <formula>"N"</formula>
    </cfRule>
  </conditionalFormatting>
  <conditionalFormatting sqref="B9:H9 T22:W22">
    <cfRule type="cellIs" dxfId="3" priority="4" operator="equal">
      <formula>"OB"</formula>
    </cfRule>
  </conditionalFormatting>
  <conditionalFormatting sqref="B9:H9 T22:W22">
    <cfRule type="cellIs" dxfId="0" priority="5" operator="equal">
      <formula>"C"</formula>
    </cfRule>
  </conditionalFormatting>
  <conditionalFormatting sqref="B9:H9 T22:W22">
    <cfRule type="cellIs" dxfId="0" priority="6" operator="equal">
      <formula>"AL"</formula>
    </cfRule>
  </conditionalFormatting>
  <conditionalFormatting sqref="B9:H9 T22:W22">
    <cfRule type="cellIs" dxfId="4" priority="7" operator="equal">
      <formula>"UP"</formula>
    </cfRule>
  </conditionalFormatting>
  <conditionalFormatting sqref="B9:H9 T22:W22">
    <cfRule type="cellIs" dxfId="0" priority="8" operator="equal">
      <formula>"S"</formula>
    </cfRule>
  </conditionalFormatting>
  <conditionalFormatting sqref="B9:H9 T22:W22">
    <cfRule type="cellIs" dxfId="5" priority="9" operator="equal">
      <formula>"OC"</formula>
    </cfRule>
  </conditionalFormatting>
  <conditionalFormatting sqref="B9:H9 T22:W22">
    <cfRule type="cellIs" dxfId="6" priority="10" operator="equal">
      <formula>"SPV"</formula>
    </cfRule>
  </conditionalFormatting>
  <conditionalFormatting sqref="B9:H9 T22:W22">
    <cfRule type="cellIs" dxfId="7" priority="11" operator="equal">
      <formula>"INT"</formula>
    </cfRule>
  </conditionalFormatting>
  <conditionalFormatting sqref="B9:H9 T22:W22">
    <cfRule type="cellIs" dxfId="8" priority="12" operator="equal">
      <formula>"T"</formula>
    </cfRule>
  </conditionalFormatting>
  <conditionalFormatting sqref="B7:AC11 E17:E28 J20:J24 K20:P25 T20:W21 I22:I24 T23:W24 Q25 B33:H36 G38:J38">
    <cfRule type="cellIs" dxfId="0" priority="13" operator="equal">
      <formula>"X"</formula>
    </cfRule>
  </conditionalFormatting>
  <conditionalFormatting sqref="B7:AC11 E17:E28 J20:J24 K20:P25 T20:W21 I22:I24 T23:W24 Q25 B33:H36 G38:J38">
    <cfRule type="cellIs" dxfId="1" priority="14" operator="equal">
      <formula>"D"</formula>
    </cfRule>
  </conditionalFormatting>
  <conditionalFormatting sqref="B7:AC11 E17:E28 J20:J24 K20:P25 T20:W21 I22:I24 T23:W24 Q25 B33:H36 G38:J38">
    <cfRule type="cellIs" dxfId="2" priority="15" operator="equal">
      <formula>"N"</formula>
    </cfRule>
  </conditionalFormatting>
  <conditionalFormatting sqref="B7:AC11 E17:E28 J20:J24 K20:P25 T20:W21 I22:I24 T23:W24 Q25 B33:H36 G38:J38">
    <cfRule type="cellIs" dxfId="3" priority="16" operator="equal">
      <formula>"OB"</formula>
    </cfRule>
  </conditionalFormatting>
  <conditionalFormatting sqref="B7:AC11 E17:E28 J20:J24 K20:P25 T20:W21 I22:I24 T23:W24 Q25 B33:H36 G38:J38">
    <cfRule type="cellIs" dxfId="0" priority="17" operator="equal">
      <formula>"C"</formula>
    </cfRule>
  </conditionalFormatting>
  <conditionalFormatting sqref="B7:AC11 E17:E28 J20:J24 K20:P25 T20:W21 I22:I24 T23:W24 Q25 B33:H36 G38:J38">
    <cfRule type="cellIs" dxfId="0" priority="18" operator="equal">
      <formula>"AL"</formula>
    </cfRule>
  </conditionalFormatting>
  <conditionalFormatting sqref="B7:AC11 E17:E28 J20:J24 K20:P25 T20:W21 I22:I24 T23:W24 Q25 B33:H36 G38:J38">
    <cfRule type="cellIs" dxfId="4" priority="19" operator="equal">
      <formula>"UP"</formula>
    </cfRule>
  </conditionalFormatting>
  <conditionalFormatting sqref="B7:AC11 E17:E28 J20:J24 K20:P25 T20:W21 I22:I24 T23:W24 Q25 B33:H36 G38:J38">
    <cfRule type="cellIs" dxfId="0" priority="20" operator="equal">
      <formula>"S"</formula>
    </cfRule>
  </conditionalFormatting>
  <conditionalFormatting sqref="B7:AC11 E17:E28 J20:J24 K20:P25 T20:W21 I22:I24 T23:W24 Q25 B33:H36 G38:J38">
    <cfRule type="cellIs" dxfId="5" priority="21" operator="equal">
      <formula>"OC"</formula>
    </cfRule>
  </conditionalFormatting>
  <conditionalFormatting sqref="B7:AC11 E17:E28 J20:J24 K20:P25 T20:W21 I22:I24 T23:W24 Q25 B33:H36 G38:J38">
    <cfRule type="cellIs" dxfId="6" priority="22" operator="equal">
      <formula>"SPV"</formula>
    </cfRule>
  </conditionalFormatting>
  <conditionalFormatting sqref="B7:AC11 E17:E28 J20:J24 K20:P25 T20:W21 I22:I24 T23:W24 Q25 B33:H36 G38:J38">
    <cfRule type="cellIs" dxfId="7" priority="23" operator="equal">
      <formula>"INT"</formula>
    </cfRule>
  </conditionalFormatting>
  <conditionalFormatting sqref="B7:AC11 J20:P24 T20:W21 T23:W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80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27</v>
      </c>
      <c r="C5" s="13" t="s">
        <v>28</v>
      </c>
      <c r="D5" s="13" t="s">
        <v>29</v>
      </c>
      <c r="E5" s="13" t="s">
        <v>30</v>
      </c>
      <c r="F5" s="13" t="s">
        <v>31</v>
      </c>
      <c r="G5" s="13" t="s">
        <v>32</v>
      </c>
      <c r="H5" s="13" t="s">
        <v>33</v>
      </c>
      <c r="I5" s="13" t="s">
        <v>34</v>
      </c>
      <c r="J5" s="13" t="s">
        <v>35</v>
      </c>
      <c r="K5" s="13" t="s">
        <v>36</v>
      </c>
      <c r="L5" s="13" t="s">
        <v>37</v>
      </c>
      <c r="M5" s="13" t="s">
        <v>81</v>
      </c>
      <c r="N5" s="13" t="s">
        <v>71</v>
      </c>
      <c r="O5" s="13" t="s">
        <v>75</v>
      </c>
      <c r="P5" s="13" t="s">
        <v>10</v>
      </c>
      <c r="Q5" s="13" t="s">
        <v>11</v>
      </c>
      <c r="R5" s="13" t="s">
        <v>12</v>
      </c>
      <c r="S5" s="13" t="s">
        <v>13</v>
      </c>
      <c r="T5" s="13" t="s">
        <v>14</v>
      </c>
      <c r="U5" s="13" t="s">
        <v>15</v>
      </c>
      <c r="V5" s="13" t="s">
        <v>16</v>
      </c>
      <c r="W5" s="13" t="s">
        <v>17</v>
      </c>
      <c r="X5" s="13" t="s">
        <v>18</v>
      </c>
      <c r="Y5" s="13" t="s">
        <v>19</v>
      </c>
      <c r="Z5" s="13" t="s">
        <v>20</v>
      </c>
      <c r="AA5" s="13" t="s">
        <v>21</v>
      </c>
      <c r="AB5" s="13" t="s">
        <v>22</v>
      </c>
      <c r="AC5" s="13" t="s">
        <v>23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B6" s="21"/>
      <c r="C6" s="21"/>
      <c r="D6" s="21"/>
      <c r="E6" s="21"/>
      <c r="F6" s="21"/>
      <c r="G6" s="71"/>
      <c r="H6" s="71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69" t="s">
        <v>44</v>
      </c>
      <c r="C7" s="69" t="s">
        <v>44</v>
      </c>
      <c r="D7" s="69" t="s">
        <v>44</v>
      </c>
      <c r="E7" s="69" t="s">
        <v>44</v>
      </c>
      <c r="F7" s="69" t="s">
        <v>44</v>
      </c>
      <c r="G7" s="69" t="s">
        <v>40</v>
      </c>
      <c r="H7" s="69" t="s">
        <v>40</v>
      </c>
      <c r="I7" s="60" t="s">
        <v>38</v>
      </c>
      <c r="J7" s="60" t="s">
        <v>38</v>
      </c>
      <c r="K7" s="60" t="s">
        <v>40</v>
      </c>
      <c r="L7" s="60" t="s">
        <v>40</v>
      </c>
      <c r="M7" s="60" t="s">
        <v>40</v>
      </c>
      <c r="N7" s="61" t="s">
        <v>39</v>
      </c>
      <c r="O7" s="61" t="s">
        <v>39</v>
      </c>
      <c r="P7" s="70" t="s">
        <v>40</v>
      </c>
      <c r="Q7" s="70" t="s">
        <v>40</v>
      </c>
      <c r="R7" s="70" t="s">
        <v>38</v>
      </c>
      <c r="S7" s="70" t="s">
        <v>40</v>
      </c>
      <c r="T7" s="70" t="s">
        <v>38</v>
      </c>
      <c r="U7" s="70" t="s">
        <v>38</v>
      </c>
      <c r="V7" s="70" t="s">
        <v>40</v>
      </c>
      <c r="W7" s="71" t="s">
        <v>41</v>
      </c>
      <c r="X7" s="71" t="s">
        <v>41</v>
      </c>
      <c r="Y7" s="71" t="s">
        <v>41</v>
      </c>
      <c r="Z7" s="71" t="s">
        <v>41</v>
      </c>
      <c r="AA7" s="71" t="s">
        <v>60</v>
      </c>
      <c r="AB7" s="71" t="s">
        <v>68</v>
      </c>
      <c r="AC7" s="71" t="s">
        <v>68</v>
      </c>
      <c r="AG7" s="49">
        <f t="shared" ref="AG7:AG11" si="1">COUNTIF(B7:AC7,"D")</f>
        <v>5</v>
      </c>
      <c r="AH7" s="49">
        <f t="shared" ref="AH7:AH11" si="2">COUNTIF(B7:AC7,"N")</f>
        <v>2</v>
      </c>
      <c r="AI7" s="49">
        <f t="shared" ref="AI7:AI11" si="3">COUNTIF(B7:AC7,"X")</f>
        <v>9</v>
      </c>
      <c r="AJ7" s="49">
        <f t="shared" ref="AJ7:AJ11" si="4">COUNTIF(B7:AC7,"INT")</f>
        <v>4</v>
      </c>
      <c r="AK7" s="49">
        <f t="shared" ref="AK7:AK11" si="5">SUM(AG7+AH7+AJ7)</f>
        <v>11</v>
      </c>
      <c r="AL7" s="49">
        <f t="shared" ref="AL7:AL11" si="6">((AG7*12)+(AH7*12)+(AJ7*8))/4</f>
        <v>29</v>
      </c>
    </row>
    <row r="8">
      <c r="A8" s="13" t="s">
        <v>45</v>
      </c>
      <c r="B8" s="69" t="s">
        <v>39</v>
      </c>
      <c r="C8" s="69" t="s">
        <v>39</v>
      </c>
      <c r="D8" s="69" t="s">
        <v>40</v>
      </c>
      <c r="E8" s="69" t="s">
        <v>38</v>
      </c>
      <c r="F8" s="69" t="s">
        <v>38</v>
      </c>
      <c r="G8" s="69" t="s">
        <v>40</v>
      </c>
      <c r="H8" s="69" t="s">
        <v>39</v>
      </c>
      <c r="I8" s="69" t="s">
        <v>40</v>
      </c>
      <c r="J8" s="69" t="s">
        <v>40</v>
      </c>
      <c r="K8" s="69" t="s">
        <v>38</v>
      </c>
      <c r="L8" s="69" t="s">
        <v>38</v>
      </c>
      <c r="M8" s="69" t="s">
        <v>38</v>
      </c>
      <c r="N8" s="69" t="s">
        <v>40</v>
      </c>
      <c r="O8" s="69" t="s">
        <v>40</v>
      </c>
      <c r="P8" s="60" t="s">
        <v>39</v>
      </c>
      <c r="Q8" s="60" t="s">
        <v>39</v>
      </c>
      <c r="R8" s="60" t="s">
        <v>40</v>
      </c>
      <c r="S8" s="60" t="s">
        <v>38</v>
      </c>
      <c r="T8" s="60" t="s">
        <v>40</v>
      </c>
      <c r="U8" s="61" t="s">
        <v>60</v>
      </c>
      <c r="V8" s="61" t="s">
        <v>38</v>
      </c>
      <c r="W8" s="70" t="s">
        <v>40</v>
      </c>
      <c r="X8" s="70" t="s">
        <v>40</v>
      </c>
      <c r="Y8" s="70" t="s">
        <v>40</v>
      </c>
      <c r="Z8" s="70" t="s">
        <v>39</v>
      </c>
      <c r="AA8" s="70" t="s">
        <v>39</v>
      </c>
      <c r="AB8" s="70" t="s">
        <v>39</v>
      </c>
      <c r="AC8" s="70" t="s">
        <v>40</v>
      </c>
      <c r="AG8" s="49">
        <f t="shared" si="1"/>
        <v>7</v>
      </c>
      <c r="AH8" s="49">
        <f t="shared" si="2"/>
        <v>8</v>
      </c>
      <c r="AI8" s="49">
        <f t="shared" si="3"/>
        <v>12</v>
      </c>
      <c r="AJ8" s="49">
        <f t="shared" si="4"/>
        <v>0</v>
      </c>
      <c r="AK8" s="49">
        <f t="shared" si="5"/>
        <v>15</v>
      </c>
      <c r="AL8" s="49">
        <f t="shared" si="6"/>
        <v>45</v>
      </c>
    </row>
    <row r="9">
      <c r="A9" s="13" t="s">
        <v>47</v>
      </c>
      <c r="B9" s="60" t="s">
        <v>40</v>
      </c>
      <c r="C9" s="60" t="s">
        <v>41</v>
      </c>
      <c r="D9" s="60" t="s">
        <v>38</v>
      </c>
      <c r="E9" s="60" t="s">
        <v>41</v>
      </c>
      <c r="F9" s="60" t="s">
        <v>41</v>
      </c>
      <c r="G9" s="61" t="s">
        <v>68</v>
      </c>
      <c r="H9" s="61" t="s">
        <v>68</v>
      </c>
      <c r="I9" s="70" t="s">
        <v>39</v>
      </c>
      <c r="J9" s="70" t="s">
        <v>39</v>
      </c>
      <c r="K9" s="70" t="s">
        <v>40</v>
      </c>
      <c r="L9" s="70" t="s">
        <v>40</v>
      </c>
      <c r="M9" s="70" t="s">
        <v>40</v>
      </c>
      <c r="N9" s="70" t="s">
        <v>38</v>
      </c>
      <c r="O9" s="70" t="s">
        <v>38</v>
      </c>
      <c r="P9" s="70" t="s">
        <v>40</v>
      </c>
      <c r="Q9" s="70" t="s">
        <v>40</v>
      </c>
      <c r="R9" s="70" t="s">
        <v>39</v>
      </c>
      <c r="S9" s="70" t="s">
        <v>39</v>
      </c>
      <c r="T9" s="70" t="s">
        <v>39</v>
      </c>
      <c r="U9" s="70" t="s">
        <v>40</v>
      </c>
      <c r="V9" s="70" t="s">
        <v>40</v>
      </c>
      <c r="W9" s="60" t="s">
        <v>38</v>
      </c>
      <c r="X9" s="60" t="s">
        <v>38</v>
      </c>
      <c r="Y9" s="60" t="s">
        <v>38</v>
      </c>
      <c r="Z9" s="60" t="s">
        <v>40</v>
      </c>
      <c r="AA9" s="60" t="s">
        <v>40</v>
      </c>
      <c r="AB9" s="61" t="s">
        <v>40</v>
      </c>
      <c r="AC9" s="61" t="s">
        <v>39</v>
      </c>
      <c r="AG9" s="49">
        <f t="shared" si="1"/>
        <v>6</v>
      </c>
      <c r="AH9" s="49">
        <f t="shared" si="2"/>
        <v>6</v>
      </c>
      <c r="AI9" s="49">
        <f t="shared" si="3"/>
        <v>11</v>
      </c>
      <c r="AJ9" s="49">
        <f t="shared" si="4"/>
        <v>3</v>
      </c>
      <c r="AK9" s="49">
        <f t="shared" si="5"/>
        <v>15</v>
      </c>
      <c r="AL9" s="49">
        <f t="shared" si="6"/>
        <v>42</v>
      </c>
    </row>
    <row r="10">
      <c r="A10" s="13" t="s">
        <v>48</v>
      </c>
      <c r="B10" s="69" t="s">
        <v>38</v>
      </c>
      <c r="C10" s="69" t="s">
        <v>38</v>
      </c>
      <c r="D10" s="69" t="s">
        <v>40</v>
      </c>
      <c r="E10" s="69" t="s">
        <v>40</v>
      </c>
      <c r="F10" s="69" t="s">
        <v>39</v>
      </c>
      <c r="G10" s="69" t="s">
        <v>39</v>
      </c>
      <c r="H10" s="69" t="s">
        <v>40</v>
      </c>
      <c r="I10" s="69" t="s">
        <v>41</v>
      </c>
      <c r="J10" s="69" t="s">
        <v>41</v>
      </c>
      <c r="K10" s="69" t="s">
        <v>41</v>
      </c>
      <c r="L10" s="69" t="s">
        <v>41</v>
      </c>
      <c r="M10" s="69" t="s">
        <v>41</v>
      </c>
      <c r="N10" s="69" t="s">
        <v>68</v>
      </c>
      <c r="O10" s="69" t="s">
        <v>68</v>
      </c>
      <c r="P10" s="69" t="s">
        <v>38</v>
      </c>
      <c r="Q10" s="69" t="s">
        <v>38</v>
      </c>
      <c r="R10" s="69" t="s">
        <v>40</v>
      </c>
      <c r="S10" s="69" t="s">
        <v>40</v>
      </c>
      <c r="T10" s="69" t="s">
        <v>40</v>
      </c>
      <c r="U10" s="69" t="s">
        <v>39</v>
      </c>
      <c r="V10" s="69" t="s">
        <v>39</v>
      </c>
      <c r="W10" s="70" t="s">
        <v>40</v>
      </c>
      <c r="X10" s="70" t="s">
        <v>40</v>
      </c>
      <c r="Y10" s="70" t="s">
        <v>40</v>
      </c>
      <c r="Z10" s="70" t="s">
        <v>38</v>
      </c>
      <c r="AA10" s="70" t="s">
        <v>38</v>
      </c>
      <c r="AB10" s="70" t="s">
        <v>38</v>
      </c>
      <c r="AC10" s="70" t="s">
        <v>40</v>
      </c>
      <c r="AG10" s="49">
        <f t="shared" si="1"/>
        <v>7</v>
      </c>
      <c r="AH10" s="49">
        <f t="shared" si="2"/>
        <v>4</v>
      </c>
      <c r="AI10" s="49">
        <f t="shared" si="3"/>
        <v>10</v>
      </c>
      <c r="AJ10" s="49">
        <f t="shared" si="4"/>
        <v>5</v>
      </c>
      <c r="AK10" s="49">
        <f t="shared" si="5"/>
        <v>16</v>
      </c>
      <c r="AL10" s="49">
        <f t="shared" si="6"/>
        <v>43</v>
      </c>
    </row>
    <row r="11">
      <c r="A11" s="13" t="s">
        <v>73</v>
      </c>
      <c r="B11" s="60" t="s">
        <v>40</v>
      </c>
      <c r="C11" s="60" t="s">
        <v>40</v>
      </c>
      <c r="D11" s="60" t="s">
        <v>39</v>
      </c>
      <c r="E11" s="60" t="s">
        <v>39</v>
      </c>
      <c r="F11" s="60" t="s">
        <v>40</v>
      </c>
      <c r="G11" s="61" t="s">
        <v>38</v>
      </c>
      <c r="H11" s="61" t="s">
        <v>38</v>
      </c>
      <c r="I11" s="69" t="s">
        <v>40</v>
      </c>
      <c r="J11" s="69" t="s">
        <v>40</v>
      </c>
      <c r="K11" s="69" t="s">
        <v>39</v>
      </c>
      <c r="L11" s="69" t="s">
        <v>39</v>
      </c>
      <c r="M11" s="69" t="s">
        <v>39</v>
      </c>
      <c r="N11" s="69" t="s">
        <v>40</v>
      </c>
      <c r="O11" s="69" t="s">
        <v>40</v>
      </c>
      <c r="P11" s="70" t="s">
        <v>41</v>
      </c>
      <c r="Q11" s="70" t="s">
        <v>41</v>
      </c>
      <c r="R11" s="70" t="s">
        <v>41</v>
      </c>
      <c r="S11" s="70" t="s">
        <v>41</v>
      </c>
      <c r="T11" s="70" t="s">
        <v>41</v>
      </c>
      <c r="U11" s="70" t="s">
        <v>68</v>
      </c>
      <c r="V11" s="70" t="s">
        <v>68</v>
      </c>
      <c r="W11" s="69" t="s">
        <v>39</v>
      </c>
      <c r="X11" s="69" t="s">
        <v>39</v>
      </c>
      <c r="Y11" s="69" t="s">
        <v>39</v>
      </c>
      <c r="Z11" s="69" t="s">
        <v>40</v>
      </c>
      <c r="AA11" s="69" t="s">
        <v>40</v>
      </c>
      <c r="AB11" s="69" t="s">
        <v>40</v>
      </c>
      <c r="AC11" s="69" t="s">
        <v>38</v>
      </c>
      <c r="AG11" s="49">
        <f t="shared" si="1"/>
        <v>3</v>
      </c>
      <c r="AH11" s="49">
        <f t="shared" si="2"/>
        <v>8</v>
      </c>
      <c r="AI11" s="49">
        <f t="shared" si="3"/>
        <v>10</v>
      </c>
      <c r="AJ11" s="49">
        <f t="shared" si="4"/>
        <v>5</v>
      </c>
      <c r="AK11" s="49">
        <f t="shared" si="5"/>
        <v>16</v>
      </c>
      <c r="AL11" s="49">
        <f t="shared" si="6"/>
        <v>43</v>
      </c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1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32"/>
      <c r="J16" s="28"/>
      <c r="K16" s="75" t="s">
        <v>82</v>
      </c>
      <c r="L16" s="76"/>
      <c r="M16" s="76"/>
      <c r="N16" s="76"/>
      <c r="O16" s="76"/>
      <c r="P16" s="76"/>
      <c r="Q16" s="77"/>
      <c r="U16" s="62"/>
      <c r="V16" s="62"/>
      <c r="W16" s="62"/>
      <c r="X16" s="62"/>
      <c r="Y16" s="62"/>
      <c r="Z16" s="62"/>
      <c r="AA16" s="62"/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11"/>
      <c r="K17" s="9" t="s">
        <v>2</v>
      </c>
      <c r="L17" s="9" t="s">
        <v>3</v>
      </c>
      <c r="M17" s="9" t="s">
        <v>4</v>
      </c>
      <c r="N17" s="9" t="s">
        <v>5</v>
      </c>
      <c r="O17" s="9" t="s">
        <v>6</v>
      </c>
      <c r="P17" s="9" t="s">
        <v>7</v>
      </c>
      <c r="Q17" s="9" t="s">
        <v>8</v>
      </c>
      <c r="R17" s="11"/>
      <c r="S17" s="11"/>
      <c r="T17" s="11"/>
      <c r="U17" s="13"/>
      <c r="V17" s="11"/>
      <c r="W17" s="11"/>
      <c r="X17" s="11"/>
      <c r="Y17" s="11"/>
      <c r="Z17" s="11"/>
      <c r="AA17" s="11"/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/>
      <c r="K18" s="13" t="s">
        <v>20</v>
      </c>
      <c r="L18" s="13" t="s">
        <v>21</v>
      </c>
      <c r="M18" s="13" t="s">
        <v>22</v>
      </c>
      <c r="N18" s="13" t="s">
        <v>23</v>
      </c>
      <c r="O18" s="13" t="s">
        <v>24</v>
      </c>
      <c r="P18" s="13" t="s">
        <v>25</v>
      </c>
      <c r="Q18" s="13" t="s">
        <v>26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K19" s="68"/>
      <c r="L19" s="68"/>
      <c r="M19" s="68"/>
      <c r="N19" s="68"/>
      <c r="O19" s="68"/>
      <c r="P19" s="68"/>
      <c r="Q19" s="68"/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K20" s="71" t="s">
        <v>41</v>
      </c>
      <c r="L20" s="71" t="s">
        <v>41</v>
      </c>
      <c r="M20" s="71" t="s">
        <v>41</v>
      </c>
      <c r="N20" s="71" t="s">
        <v>41</v>
      </c>
      <c r="O20" s="71" t="s">
        <v>41</v>
      </c>
      <c r="P20" s="71" t="s">
        <v>68</v>
      </c>
      <c r="Q20" s="71" t="s">
        <v>38</v>
      </c>
      <c r="R20" s="19" t="s">
        <v>43</v>
      </c>
      <c r="T20" s="20"/>
      <c r="U20" s="69"/>
      <c r="V20" s="69"/>
      <c r="W20" s="69"/>
      <c r="X20" s="69"/>
      <c r="Y20" s="69"/>
      <c r="Z20" s="69"/>
      <c r="AA20" s="69"/>
    </row>
    <row r="21">
      <c r="E21" s="33" t="s">
        <v>40</v>
      </c>
      <c r="F21" s="1" t="s">
        <v>57</v>
      </c>
      <c r="H21" s="34"/>
      <c r="J21" s="59"/>
      <c r="K21" s="70" t="s">
        <v>40</v>
      </c>
      <c r="L21" s="70" t="s">
        <v>40</v>
      </c>
      <c r="M21" s="70" t="s">
        <v>40</v>
      </c>
      <c r="N21" s="70" t="s">
        <v>38</v>
      </c>
      <c r="O21" s="70" t="s">
        <v>38</v>
      </c>
      <c r="P21" s="70" t="s">
        <v>40</v>
      </c>
      <c r="Q21" s="70" t="s">
        <v>40</v>
      </c>
      <c r="R21" s="13" t="s">
        <v>45</v>
      </c>
      <c r="T21" s="20"/>
      <c r="U21" s="69"/>
      <c r="V21" s="69"/>
      <c r="W21" s="69"/>
      <c r="X21" s="69"/>
      <c r="Y21" s="69"/>
      <c r="Z21" s="69"/>
      <c r="AA21" s="69"/>
    </row>
    <row r="22">
      <c r="E22" s="33" t="s">
        <v>58</v>
      </c>
      <c r="F22" s="1" t="s">
        <v>59</v>
      </c>
      <c r="H22" s="34"/>
      <c r="I22" s="72"/>
      <c r="J22" s="73"/>
      <c r="K22" s="60" t="s">
        <v>38</v>
      </c>
      <c r="L22" s="60" t="s">
        <v>38</v>
      </c>
      <c r="M22" s="60" t="s">
        <v>38</v>
      </c>
      <c r="N22" s="60" t="s">
        <v>40</v>
      </c>
      <c r="O22" s="60" t="s">
        <v>40</v>
      </c>
      <c r="P22" s="61" t="s">
        <v>39</v>
      </c>
      <c r="Q22" s="61" t="s">
        <v>39</v>
      </c>
      <c r="R22" s="13" t="s">
        <v>47</v>
      </c>
      <c r="T22" s="20"/>
      <c r="U22" s="60"/>
      <c r="V22" s="60"/>
      <c r="W22" s="60"/>
      <c r="X22" s="60"/>
      <c r="Y22" s="60"/>
      <c r="Z22" s="61"/>
      <c r="AA22" s="61"/>
    </row>
    <row r="23">
      <c r="E23" s="33" t="s">
        <v>60</v>
      </c>
      <c r="F23" s="1" t="s">
        <v>61</v>
      </c>
      <c r="H23" s="34"/>
      <c r="I23" s="20"/>
      <c r="J23" s="59"/>
      <c r="K23" s="70" t="s">
        <v>40</v>
      </c>
      <c r="L23" s="70" t="s">
        <v>40</v>
      </c>
      <c r="M23" s="70" t="s">
        <v>39</v>
      </c>
      <c r="N23" s="70" t="s">
        <v>39</v>
      </c>
      <c r="O23" s="70" t="s">
        <v>39</v>
      </c>
      <c r="P23" s="70" t="s">
        <v>40</v>
      </c>
      <c r="Q23" s="70" t="s">
        <v>40</v>
      </c>
      <c r="R23" s="13" t="s">
        <v>48</v>
      </c>
      <c r="T23" s="20"/>
      <c r="U23" s="69"/>
      <c r="V23" s="69"/>
      <c r="W23" s="69"/>
      <c r="X23" s="69"/>
      <c r="Y23" s="69"/>
      <c r="Z23" s="69"/>
      <c r="AA23" s="69"/>
    </row>
    <row r="24">
      <c r="E24" s="33" t="s">
        <v>44</v>
      </c>
      <c r="F24" s="1" t="s">
        <v>62</v>
      </c>
      <c r="H24" s="34"/>
      <c r="I24" s="20"/>
      <c r="J24" s="55"/>
      <c r="K24" s="69" t="s">
        <v>39</v>
      </c>
      <c r="L24" s="69" t="s">
        <v>39</v>
      </c>
      <c r="M24" s="69" t="s">
        <v>40</v>
      </c>
      <c r="N24" s="69" t="s">
        <v>40</v>
      </c>
      <c r="O24" s="69" t="s">
        <v>40</v>
      </c>
      <c r="P24" s="69" t="s">
        <v>38</v>
      </c>
      <c r="Q24" s="69" t="s">
        <v>60</v>
      </c>
      <c r="R24" s="13" t="s">
        <v>73</v>
      </c>
      <c r="T24" s="20"/>
      <c r="U24" s="60"/>
      <c r="V24" s="60"/>
      <c r="W24" s="60"/>
      <c r="X24" s="60"/>
      <c r="Y24" s="60"/>
      <c r="Z24" s="61"/>
      <c r="AA24" s="61"/>
    </row>
    <row r="25">
      <c r="E25" s="33" t="s">
        <v>63</v>
      </c>
      <c r="F25" s="1" t="s">
        <v>64</v>
      </c>
      <c r="H25" s="34"/>
      <c r="K25" s="22"/>
      <c r="L25" s="22"/>
      <c r="M25" s="22"/>
      <c r="N25" s="22"/>
      <c r="O25" s="22"/>
      <c r="P25" s="22"/>
      <c r="Q25" s="22"/>
      <c r="U25" s="22"/>
      <c r="V25" s="22"/>
      <c r="W25" s="22"/>
      <c r="X25" s="22"/>
      <c r="Y25" s="22"/>
      <c r="Z25" s="22"/>
      <c r="AA25" s="22"/>
    </row>
    <row r="26">
      <c r="E26" s="33" t="s">
        <v>65</v>
      </c>
      <c r="F26" s="1" t="s">
        <v>66</v>
      </c>
      <c r="H26" s="34"/>
      <c r="K26" s="24">
        <f t="shared" ref="K26:Q26" si="9">COUNTIF(K20:K24,"D")</f>
        <v>1</v>
      </c>
      <c r="L26" s="24">
        <f t="shared" si="9"/>
        <v>1</v>
      </c>
      <c r="M26" s="24">
        <f t="shared" si="9"/>
        <v>1</v>
      </c>
      <c r="N26" s="24">
        <f t="shared" si="9"/>
        <v>1</v>
      </c>
      <c r="O26" s="24">
        <f t="shared" si="9"/>
        <v>1</v>
      </c>
      <c r="P26" s="24">
        <f t="shared" si="9"/>
        <v>1</v>
      </c>
      <c r="Q26" s="24">
        <f t="shared" si="9"/>
        <v>1</v>
      </c>
      <c r="U26" s="25"/>
      <c r="V26" s="25"/>
      <c r="W26" s="25"/>
      <c r="X26" s="25"/>
      <c r="Y26" s="25"/>
      <c r="Z26" s="25"/>
      <c r="AA26" s="25"/>
    </row>
    <row r="27">
      <c r="E27" s="33" t="s">
        <v>46</v>
      </c>
      <c r="F27" s="1" t="s">
        <v>67</v>
      </c>
      <c r="H27" s="34"/>
      <c r="K27" s="27">
        <f t="shared" ref="K27:Q27" si="10">COUNTIF(K20:K24,"N")</f>
        <v>1</v>
      </c>
      <c r="L27" s="27">
        <f t="shared" si="10"/>
        <v>1</v>
      </c>
      <c r="M27" s="27">
        <f t="shared" si="10"/>
        <v>1</v>
      </c>
      <c r="N27" s="27">
        <f t="shared" si="10"/>
        <v>1</v>
      </c>
      <c r="O27" s="27">
        <f t="shared" si="10"/>
        <v>1</v>
      </c>
      <c r="P27" s="27">
        <f t="shared" si="10"/>
        <v>1</v>
      </c>
      <c r="Q27" s="27">
        <f t="shared" si="10"/>
        <v>1</v>
      </c>
      <c r="U27" s="25"/>
      <c r="V27" s="25"/>
      <c r="W27" s="25"/>
      <c r="X27" s="25"/>
      <c r="Y27" s="25"/>
      <c r="Z27" s="25"/>
      <c r="AA27" s="25"/>
    </row>
    <row r="28">
      <c r="E28" s="35" t="s">
        <v>68</v>
      </c>
      <c r="F28" s="36" t="s">
        <v>69</v>
      </c>
      <c r="G28" s="8"/>
      <c r="H28" s="37"/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15">
    <mergeCell ref="F21:H21"/>
    <mergeCell ref="F22:H22"/>
    <mergeCell ref="F23:H23"/>
    <mergeCell ref="F24:H24"/>
    <mergeCell ref="F25:H25"/>
    <mergeCell ref="F26:H26"/>
    <mergeCell ref="F27:H27"/>
    <mergeCell ref="F28:H28"/>
    <mergeCell ref="B1:AC3"/>
    <mergeCell ref="E16:H16"/>
    <mergeCell ref="K16:Q16"/>
    <mergeCell ref="F17:H17"/>
    <mergeCell ref="F18:H18"/>
    <mergeCell ref="F19:H19"/>
    <mergeCell ref="F20:H20"/>
  </mergeCells>
  <conditionalFormatting sqref="B9:H9 T22:AA22">
    <cfRule type="cellIs" dxfId="0" priority="1" operator="equal">
      <formula>"X"</formula>
    </cfRule>
  </conditionalFormatting>
  <conditionalFormatting sqref="B9:H9 T22:AA22">
    <cfRule type="cellIs" dxfId="1" priority="2" operator="equal">
      <formula>"D"</formula>
    </cfRule>
  </conditionalFormatting>
  <conditionalFormatting sqref="B9:H9 T22:AA22">
    <cfRule type="cellIs" dxfId="2" priority="3" operator="equal">
      <formula>"N"</formula>
    </cfRule>
  </conditionalFormatting>
  <conditionalFormatting sqref="B9:H9 T22:AA22">
    <cfRule type="cellIs" dxfId="3" priority="4" operator="equal">
      <formula>"OB"</formula>
    </cfRule>
  </conditionalFormatting>
  <conditionalFormatting sqref="B9:H9 T22:AA22">
    <cfRule type="cellIs" dxfId="0" priority="5" operator="equal">
      <formula>"C"</formula>
    </cfRule>
  </conditionalFormatting>
  <conditionalFormatting sqref="B9:H9 T22:AA22">
    <cfRule type="cellIs" dxfId="0" priority="6" operator="equal">
      <formula>"AL"</formula>
    </cfRule>
  </conditionalFormatting>
  <conditionalFormatting sqref="B9:H9 T22:AA22">
    <cfRule type="cellIs" dxfId="4" priority="7" operator="equal">
      <formula>"UP"</formula>
    </cfRule>
  </conditionalFormatting>
  <conditionalFormatting sqref="B9:H9 T22:AA22">
    <cfRule type="cellIs" dxfId="0" priority="8" operator="equal">
      <formula>"S"</formula>
    </cfRule>
  </conditionalFormatting>
  <conditionalFormatting sqref="B9:H9 T22:AA22">
    <cfRule type="cellIs" dxfId="5" priority="9" operator="equal">
      <formula>"OC"</formula>
    </cfRule>
  </conditionalFormatting>
  <conditionalFormatting sqref="B9:H9 T22:AA22">
    <cfRule type="cellIs" dxfId="6" priority="10" operator="equal">
      <formula>"SPV"</formula>
    </cfRule>
  </conditionalFormatting>
  <conditionalFormatting sqref="B9:H9 T22:AA22">
    <cfRule type="cellIs" dxfId="7" priority="11" operator="equal">
      <formula>"INT"</formula>
    </cfRule>
  </conditionalFormatting>
  <conditionalFormatting sqref="B9:H9 T22:AA22">
    <cfRule type="cellIs" dxfId="8" priority="12" operator="equal">
      <formula>"T"</formula>
    </cfRule>
  </conditionalFormatting>
  <conditionalFormatting sqref="B6:F11 G7:AC11 E17:E28 J20:J24 K20:Q25 T20:T21 U20:AA24 I22:I24 T23:T24 B33:H36 G38:J38">
    <cfRule type="cellIs" dxfId="0" priority="13" operator="equal">
      <formula>"X"</formula>
    </cfRule>
  </conditionalFormatting>
  <conditionalFormatting sqref="B6:F11 G7:AC11 E17:E28 J20:J24 K20:Q25 T20:T21 U20:AA24 I22:I24 T23:T24 B33:H36 G38:J38">
    <cfRule type="cellIs" dxfId="1" priority="14" operator="equal">
      <formula>"D"</formula>
    </cfRule>
  </conditionalFormatting>
  <conditionalFormatting sqref="B6:F11 G7:AC11 E17:E28 J20:J24 K20:Q25 T20:T21 U20:AA24 I22:I24 T23:T24 B33:H36 G38:J38">
    <cfRule type="cellIs" dxfId="2" priority="15" operator="equal">
      <formula>"N"</formula>
    </cfRule>
  </conditionalFormatting>
  <conditionalFormatting sqref="B6:F11 G7:AC11 E17:E28 J20:J24 K20:Q25 T20:T21 U20:AA24 I22:I24 T23:T24 B33:H36 G38:J38">
    <cfRule type="cellIs" dxfId="3" priority="16" operator="equal">
      <formula>"OB"</formula>
    </cfRule>
  </conditionalFormatting>
  <conditionalFormatting sqref="B6:F11 G7:AC11 E17:E28 J20:J24 K20:Q25 T20:T21 U20:AA24 I22:I24 T23:T24 B33:H36 G38:J38">
    <cfRule type="cellIs" dxfId="0" priority="17" operator="equal">
      <formula>"C"</formula>
    </cfRule>
  </conditionalFormatting>
  <conditionalFormatting sqref="B6:F11 G7:AC11 E17:E28 J20:J24 K20:Q25 T20:T21 U20:AA24 I22:I24 T23:T24 B33:H36 G38:J38">
    <cfRule type="cellIs" dxfId="0" priority="18" operator="equal">
      <formula>"AL"</formula>
    </cfRule>
  </conditionalFormatting>
  <conditionalFormatting sqref="B6:F11 G7:AC11 E17:E28 J20:J24 K20:Q25 T20:T21 U20:AA24 I22:I24 T23:T24 B33:H36 G38:J38">
    <cfRule type="cellIs" dxfId="4" priority="19" operator="equal">
      <formula>"UP"</formula>
    </cfRule>
  </conditionalFormatting>
  <conditionalFormatting sqref="B6:F11 G7:AC11 E17:E28 J20:J24 K20:Q25 T20:T21 U20:AA24 I22:I24 T23:T24 B33:H36 G38:J38">
    <cfRule type="cellIs" dxfId="0" priority="20" operator="equal">
      <formula>"S"</formula>
    </cfRule>
  </conditionalFormatting>
  <conditionalFormatting sqref="B6:F11 G7:AC11 E17:E28 J20:J24 K20:Q25 T20:T21 U20:AA24 I22:I24 T23:T24 B33:H36 G38:J38">
    <cfRule type="cellIs" dxfId="5" priority="21" operator="equal">
      <formula>"OC"</formula>
    </cfRule>
  </conditionalFormatting>
  <conditionalFormatting sqref="B6:F11 G7:AC11 E17:E28 J20:J24 K20:Q25 T20:T21 U20:AA24 I22:I24 T23:T24 B33:H36 G38:J38">
    <cfRule type="cellIs" dxfId="6" priority="22" operator="equal">
      <formula>"SPV"</formula>
    </cfRule>
  </conditionalFormatting>
  <conditionalFormatting sqref="B6:F11 G7:AC11 E17:E28 J20:J24 K20:Q25 T20:T21 U20:AA24 I22:I24 T23:T24 B33:H36 G38:J38">
    <cfRule type="cellIs" dxfId="7" priority="23" operator="equal">
      <formula>"INT"</formula>
    </cfRule>
  </conditionalFormatting>
  <conditionalFormatting sqref="B7:AC11 J20:Q24 T20:T21 U20:AA24 T23:T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26" width="4.5"/>
    <col customWidth="1" min="27" max="27" width="5.38"/>
    <col customWidth="1" min="28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83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27</v>
      </c>
      <c r="C5" s="13" t="s">
        <v>28</v>
      </c>
      <c r="D5" s="13" t="s">
        <v>29</v>
      </c>
      <c r="E5" s="13" t="s">
        <v>30</v>
      </c>
      <c r="F5" s="13" t="s">
        <v>31</v>
      </c>
      <c r="G5" s="13" t="s">
        <v>32</v>
      </c>
      <c r="H5" s="13" t="s">
        <v>33</v>
      </c>
      <c r="I5" s="13" t="s">
        <v>34</v>
      </c>
      <c r="J5" s="13" t="s">
        <v>35</v>
      </c>
      <c r="K5" s="13" t="s">
        <v>36</v>
      </c>
      <c r="L5" s="13" t="s">
        <v>37</v>
      </c>
      <c r="M5" s="13" t="s">
        <v>81</v>
      </c>
      <c r="N5" s="13" t="s">
        <v>71</v>
      </c>
      <c r="O5" s="13" t="s">
        <v>75</v>
      </c>
      <c r="P5" s="13" t="s">
        <v>10</v>
      </c>
      <c r="Q5" s="13" t="s">
        <v>11</v>
      </c>
      <c r="R5" s="13" t="s">
        <v>12</v>
      </c>
      <c r="S5" s="13" t="s">
        <v>13</v>
      </c>
      <c r="T5" s="13" t="s">
        <v>14</v>
      </c>
      <c r="U5" s="13" t="s">
        <v>15</v>
      </c>
      <c r="V5" s="13" t="s">
        <v>16</v>
      </c>
      <c r="W5" s="13" t="s">
        <v>17</v>
      </c>
      <c r="X5" s="13" t="s">
        <v>18</v>
      </c>
      <c r="Y5" s="13" t="s">
        <v>19</v>
      </c>
      <c r="Z5" s="13" t="s">
        <v>20</v>
      </c>
      <c r="AA5" s="13" t="s">
        <v>21</v>
      </c>
      <c r="AB5" s="13" t="s">
        <v>22</v>
      </c>
      <c r="AC5" s="13" t="s">
        <v>23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B6" s="21"/>
      <c r="C6" s="21"/>
      <c r="D6" s="21"/>
      <c r="E6" s="21"/>
      <c r="F6" s="21"/>
      <c r="G6" s="71"/>
      <c r="H6" s="71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69" t="s">
        <v>44</v>
      </c>
      <c r="C7" s="69" t="s">
        <v>44</v>
      </c>
      <c r="D7" s="69" t="s">
        <v>44</v>
      </c>
      <c r="E7" s="69" t="s">
        <v>44</v>
      </c>
      <c r="F7" s="69" t="s">
        <v>44</v>
      </c>
      <c r="G7" s="69" t="s">
        <v>40</v>
      </c>
      <c r="H7" s="69" t="s">
        <v>40</v>
      </c>
      <c r="I7" s="60" t="s">
        <v>38</v>
      </c>
      <c r="J7" s="60" t="s">
        <v>38</v>
      </c>
      <c r="K7" s="60" t="s">
        <v>40</v>
      </c>
      <c r="L7" s="60" t="s">
        <v>40</v>
      </c>
      <c r="M7" s="60" t="s">
        <v>40</v>
      </c>
      <c r="N7" s="61" t="s">
        <v>39</v>
      </c>
      <c r="O7" s="61" t="s">
        <v>39</v>
      </c>
      <c r="P7" s="70" t="s">
        <v>40</v>
      </c>
      <c r="Q7" s="70" t="s">
        <v>40</v>
      </c>
      <c r="R7" s="70" t="s">
        <v>38</v>
      </c>
      <c r="S7" s="70" t="s">
        <v>40</v>
      </c>
      <c r="T7" s="70" t="s">
        <v>38</v>
      </c>
      <c r="U7" s="70" t="s">
        <v>38</v>
      </c>
      <c r="V7" s="70" t="s">
        <v>40</v>
      </c>
      <c r="W7" s="71" t="s">
        <v>41</v>
      </c>
      <c r="X7" s="71" t="s">
        <v>41</v>
      </c>
      <c r="Y7" s="71" t="s">
        <v>41</v>
      </c>
      <c r="Z7" s="71" t="s">
        <v>41</v>
      </c>
      <c r="AA7" s="71" t="s">
        <v>60</v>
      </c>
      <c r="AB7" s="71" t="s">
        <v>68</v>
      </c>
      <c r="AC7" s="71" t="s">
        <v>68</v>
      </c>
      <c r="AG7" s="49">
        <f t="shared" ref="AG7:AG11" si="1">COUNTIF(B7:AC7,"D")</f>
        <v>5</v>
      </c>
      <c r="AH7" s="49">
        <f t="shared" ref="AH7:AH11" si="2">COUNTIF(B7:AC7,"N")</f>
        <v>2</v>
      </c>
      <c r="AI7" s="49">
        <f t="shared" ref="AI7:AI11" si="3">COUNTIF(B7:AC7,"X")</f>
        <v>9</v>
      </c>
      <c r="AJ7" s="49">
        <f t="shared" ref="AJ7:AJ11" si="4">COUNTIF(B7:AC7,"INT")</f>
        <v>4</v>
      </c>
      <c r="AK7" s="49">
        <f t="shared" ref="AK7:AK11" si="5">SUM(AG7+AH7+AJ7)</f>
        <v>11</v>
      </c>
      <c r="AL7" s="49">
        <f t="shared" ref="AL7:AL11" si="6">((AG7*12)+(AH7*12)+(AJ7*8))/4</f>
        <v>29</v>
      </c>
    </row>
    <row r="8">
      <c r="A8" s="13" t="s">
        <v>45</v>
      </c>
      <c r="B8" s="69" t="s">
        <v>39</v>
      </c>
      <c r="C8" s="69" t="s">
        <v>39</v>
      </c>
      <c r="D8" s="69" t="s">
        <v>40</v>
      </c>
      <c r="E8" s="69" t="s">
        <v>38</v>
      </c>
      <c r="F8" s="69" t="s">
        <v>38</v>
      </c>
      <c r="G8" s="69" t="s">
        <v>40</v>
      </c>
      <c r="H8" s="69" t="s">
        <v>39</v>
      </c>
      <c r="I8" s="69" t="s">
        <v>40</v>
      </c>
      <c r="J8" s="69" t="s">
        <v>40</v>
      </c>
      <c r="K8" s="69" t="s">
        <v>38</v>
      </c>
      <c r="L8" s="69" t="s">
        <v>38</v>
      </c>
      <c r="M8" s="69" t="s">
        <v>38</v>
      </c>
      <c r="N8" s="69" t="s">
        <v>40</v>
      </c>
      <c r="O8" s="69" t="s">
        <v>40</v>
      </c>
      <c r="P8" s="60" t="s">
        <v>39</v>
      </c>
      <c r="Q8" s="60" t="s">
        <v>39</v>
      </c>
      <c r="R8" s="60" t="s">
        <v>40</v>
      </c>
      <c r="S8" s="60" t="s">
        <v>38</v>
      </c>
      <c r="T8" s="60" t="s">
        <v>40</v>
      </c>
      <c r="U8" s="61" t="s">
        <v>60</v>
      </c>
      <c r="V8" s="61" t="s">
        <v>38</v>
      </c>
      <c r="W8" s="70" t="s">
        <v>40</v>
      </c>
      <c r="X8" s="70" t="s">
        <v>39</v>
      </c>
      <c r="Y8" s="70" t="s">
        <v>39</v>
      </c>
      <c r="Z8" s="70" t="s">
        <v>39</v>
      </c>
      <c r="AA8" s="70" t="s">
        <v>40</v>
      </c>
      <c r="AB8" s="70" t="s">
        <v>38</v>
      </c>
      <c r="AC8" s="70" t="s">
        <v>38</v>
      </c>
      <c r="AG8" s="49">
        <f t="shared" si="1"/>
        <v>9</v>
      </c>
      <c r="AH8" s="49">
        <f t="shared" si="2"/>
        <v>8</v>
      </c>
      <c r="AI8" s="49">
        <f t="shared" si="3"/>
        <v>10</v>
      </c>
      <c r="AJ8" s="49">
        <f t="shared" si="4"/>
        <v>0</v>
      </c>
      <c r="AK8" s="49">
        <f t="shared" si="5"/>
        <v>17</v>
      </c>
      <c r="AL8" s="49">
        <f t="shared" si="6"/>
        <v>51</v>
      </c>
    </row>
    <row r="9">
      <c r="A9" s="13" t="s">
        <v>47</v>
      </c>
      <c r="B9" s="60" t="s">
        <v>40</v>
      </c>
      <c r="C9" s="60" t="s">
        <v>41</v>
      </c>
      <c r="D9" s="60" t="s">
        <v>38</v>
      </c>
      <c r="E9" s="60" t="s">
        <v>41</v>
      </c>
      <c r="F9" s="60" t="s">
        <v>41</v>
      </c>
      <c r="G9" s="61" t="s">
        <v>68</v>
      </c>
      <c r="H9" s="61" t="s">
        <v>68</v>
      </c>
      <c r="I9" s="70" t="s">
        <v>39</v>
      </c>
      <c r="J9" s="70" t="s">
        <v>39</v>
      </c>
      <c r="K9" s="70" t="s">
        <v>40</v>
      </c>
      <c r="L9" s="70" t="s">
        <v>40</v>
      </c>
      <c r="M9" s="70" t="s">
        <v>40</v>
      </c>
      <c r="N9" s="70" t="s">
        <v>38</v>
      </c>
      <c r="O9" s="70" t="s">
        <v>38</v>
      </c>
      <c r="P9" s="70" t="s">
        <v>40</v>
      </c>
      <c r="Q9" s="70" t="s">
        <v>40</v>
      </c>
      <c r="R9" s="70" t="s">
        <v>39</v>
      </c>
      <c r="S9" s="70" t="s">
        <v>39</v>
      </c>
      <c r="T9" s="70" t="s">
        <v>39</v>
      </c>
      <c r="U9" s="70" t="s">
        <v>40</v>
      </c>
      <c r="V9" s="70" t="s">
        <v>40</v>
      </c>
      <c r="W9" s="60" t="s">
        <v>38</v>
      </c>
      <c r="X9" s="60" t="s">
        <v>38</v>
      </c>
      <c r="Y9" s="60" t="s">
        <v>38</v>
      </c>
      <c r="Z9" s="60" t="s">
        <v>40</v>
      </c>
      <c r="AA9" s="60" t="s">
        <v>39</v>
      </c>
      <c r="AB9" s="61" t="s">
        <v>68</v>
      </c>
      <c r="AC9" s="61" t="s">
        <v>40</v>
      </c>
      <c r="AG9" s="49">
        <f t="shared" si="1"/>
        <v>6</v>
      </c>
      <c r="AH9" s="49">
        <f t="shared" si="2"/>
        <v>6</v>
      </c>
      <c r="AI9" s="49">
        <f t="shared" si="3"/>
        <v>10</v>
      </c>
      <c r="AJ9" s="49">
        <f t="shared" si="4"/>
        <v>3</v>
      </c>
      <c r="AK9" s="49">
        <f t="shared" si="5"/>
        <v>15</v>
      </c>
      <c r="AL9" s="49">
        <f t="shared" si="6"/>
        <v>42</v>
      </c>
    </row>
    <row r="10">
      <c r="A10" s="13" t="s">
        <v>48</v>
      </c>
      <c r="B10" s="69" t="s">
        <v>38</v>
      </c>
      <c r="C10" s="69" t="s">
        <v>38</v>
      </c>
      <c r="D10" s="69" t="s">
        <v>40</v>
      </c>
      <c r="E10" s="69" t="s">
        <v>40</v>
      </c>
      <c r="F10" s="69" t="s">
        <v>39</v>
      </c>
      <c r="G10" s="69" t="s">
        <v>39</v>
      </c>
      <c r="H10" s="69" t="s">
        <v>40</v>
      </c>
      <c r="I10" s="69" t="s">
        <v>41</v>
      </c>
      <c r="J10" s="69" t="s">
        <v>41</v>
      </c>
      <c r="K10" s="69" t="s">
        <v>41</v>
      </c>
      <c r="L10" s="69" t="s">
        <v>41</v>
      </c>
      <c r="M10" s="69" t="s">
        <v>41</v>
      </c>
      <c r="N10" s="69" t="s">
        <v>68</v>
      </c>
      <c r="O10" s="69" t="s">
        <v>68</v>
      </c>
      <c r="P10" s="69" t="s">
        <v>38</v>
      </c>
      <c r="Q10" s="69" t="s">
        <v>38</v>
      </c>
      <c r="R10" s="69" t="s">
        <v>40</v>
      </c>
      <c r="S10" s="69" t="s">
        <v>40</v>
      </c>
      <c r="T10" s="69" t="s">
        <v>40</v>
      </c>
      <c r="U10" s="69" t="s">
        <v>39</v>
      </c>
      <c r="V10" s="69" t="s">
        <v>39</v>
      </c>
      <c r="W10" s="70" t="s">
        <v>39</v>
      </c>
      <c r="X10" s="70" t="s">
        <v>40</v>
      </c>
      <c r="Y10" s="70" t="s">
        <v>40</v>
      </c>
      <c r="Z10" s="70" t="s">
        <v>38</v>
      </c>
      <c r="AA10" s="70" t="s">
        <v>38</v>
      </c>
      <c r="AB10" s="70" t="s">
        <v>40</v>
      </c>
      <c r="AC10" s="70" t="s">
        <v>39</v>
      </c>
      <c r="AG10" s="49">
        <f t="shared" si="1"/>
        <v>6</v>
      </c>
      <c r="AH10" s="49">
        <f t="shared" si="2"/>
        <v>6</v>
      </c>
      <c r="AI10" s="49">
        <f t="shared" si="3"/>
        <v>9</v>
      </c>
      <c r="AJ10" s="49">
        <f t="shared" si="4"/>
        <v>5</v>
      </c>
      <c r="AK10" s="49">
        <f t="shared" si="5"/>
        <v>17</v>
      </c>
      <c r="AL10" s="49">
        <f t="shared" si="6"/>
        <v>46</v>
      </c>
    </row>
    <row r="11">
      <c r="A11" s="13" t="s">
        <v>73</v>
      </c>
      <c r="B11" s="60" t="s">
        <v>40</v>
      </c>
      <c r="C11" s="60" t="s">
        <v>40</v>
      </c>
      <c r="D11" s="60" t="s">
        <v>39</v>
      </c>
      <c r="E11" s="60" t="s">
        <v>39</v>
      </c>
      <c r="F11" s="60" t="s">
        <v>40</v>
      </c>
      <c r="G11" s="61" t="s">
        <v>38</v>
      </c>
      <c r="H11" s="61" t="s">
        <v>38</v>
      </c>
      <c r="I11" s="69" t="s">
        <v>40</v>
      </c>
      <c r="J11" s="69" t="s">
        <v>40</v>
      </c>
      <c r="K11" s="69" t="s">
        <v>39</v>
      </c>
      <c r="L11" s="69" t="s">
        <v>39</v>
      </c>
      <c r="M11" s="69" t="s">
        <v>39</v>
      </c>
      <c r="N11" s="69" t="s">
        <v>40</v>
      </c>
      <c r="O11" s="69" t="s">
        <v>40</v>
      </c>
      <c r="P11" s="70" t="s">
        <v>41</v>
      </c>
      <c r="Q11" s="70" t="s">
        <v>41</v>
      </c>
      <c r="R11" s="70" t="s">
        <v>41</v>
      </c>
      <c r="S11" s="70" t="s">
        <v>41</v>
      </c>
      <c r="T11" s="70" t="s">
        <v>41</v>
      </c>
      <c r="U11" s="70" t="s">
        <v>68</v>
      </c>
      <c r="V11" s="70" t="s">
        <v>68</v>
      </c>
      <c r="W11" s="69"/>
      <c r="X11" s="69"/>
      <c r="Y11" s="69"/>
      <c r="Z11" s="69"/>
      <c r="AA11" s="69"/>
      <c r="AB11" s="69"/>
      <c r="AC11" s="69"/>
      <c r="AG11" s="49">
        <f t="shared" si="1"/>
        <v>2</v>
      </c>
      <c r="AH11" s="49">
        <f t="shared" si="2"/>
        <v>5</v>
      </c>
      <c r="AI11" s="49">
        <f t="shared" si="3"/>
        <v>7</v>
      </c>
      <c r="AJ11" s="49">
        <f t="shared" si="4"/>
        <v>5</v>
      </c>
      <c r="AK11" s="49">
        <f t="shared" si="5"/>
        <v>12</v>
      </c>
      <c r="AL11" s="49">
        <f t="shared" si="6"/>
        <v>31</v>
      </c>
    </row>
    <row r="12">
      <c r="A12" s="1" t="s">
        <v>84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1" t="s">
        <v>58</v>
      </c>
      <c r="X12" s="21" t="s">
        <v>58</v>
      </c>
      <c r="Y12" s="21" t="s">
        <v>58</v>
      </c>
      <c r="Z12" s="21" t="s">
        <v>40</v>
      </c>
      <c r="AA12" s="21" t="s">
        <v>85</v>
      </c>
      <c r="AB12" s="21" t="s">
        <v>39</v>
      </c>
      <c r="AC12" s="21" t="s">
        <v>40</v>
      </c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1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0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32"/>
      <c r="J16" s="28"/>
      <c r="K16" s="75" t="s">
        <v>82</v>
      </c>
      <c r="L16" s="76"/>
      <c r="M16" s="76"/>
      <c r="N16" s="76"/>
      <c r="O16" s="76"/>
      <c r="P16" s="76"/>
      <c r="Q16" s="77"/>
      <c r="U16" s="62"/>
      <c r="V16" s="62"/>
      <c r="W16" s="62"/>
      <c r="X16" s="62"/>
      <c r="Y16" s="62"/>
      <c r="Z16" s="62"/>
      <c r="AA16" s="62"/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11"/>
      <c r="K17" s="9" t="s">
        <v>2</v>
      </c>
      <c r="L17" s="9" t="s">
        <v>3</v>
      </c>
      <c r="M17" s="9" t="s">
        <v>4</v>
      </c>
      <c r="N17" s="9" t="s">
        <v>5</v>
      </c>
      <c r="O17" s="9" t="s">
        <v>6</v>
      </c>
      <c r="P17" s="9" t="s">
        <v>7</v>
      </c>
      <c r="Q17" s="9" t="s">
        <v>8</v>
      </c>
      <c r="R17" s="11"/>
      <c r="S17" s="11"/>
      <c r="T17" s="11"/>
      <c r="U17" s="13"/>
      <c r="V17" s="11"/>
      <c r="W17" s="11"/>
      <c r="X17" s="11"/>
      <c r="Y17" s="11"/>
      <c r="Z17" s="11"/>
      <c r="AA17" s="11"/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/>
      <c r="K18" s="13" t="s">
        <v>20</v>
      </c>
      <c r="L18" s="13" t="s">
        <v>21</v>
      </c>
      <c r="M18" s="13" t="s">
        <v>22</v>
      </c>
      <c r="N18" s="13" t="s">
        <v>23</v>
      </c>
      <c r="O18" s="13" t="s">
        <v>24</v>
      </c>
      <c r="P18" s="13" t="s">
        <v>25</v>
      </c>
      <c r="Q18" s="13" t="s">
        <v>26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K19" s="68"/>
      <c r="L19" s="68"/>
      <c r="M19" s="68"/>
      <c r="N19" s="68"/>
      <c r="O19" s="68"/>
      <c r="P19" s="68"/>
      <c r="Q19" s="68"/>
      <c r="W19" s="13" t="s">
        <v>86</v>
      </c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K20" s="71" t="s">
        <v>41</v>
      </c>
      <c r="L20" s="71" t="s">
        <v>41</v>
      </c>
      <c r="M20" s="71" t="s">
        <v>41</v>
      </c>
      <c r="N20" s="71" t="s">
        <v>41</v>
      </c>
      <c r="O20" s="71" t="s">
        <v>41</v>
      </c>
      <c r="P20" s="71" t="s">
        <v>68</v>
      </c>
      <c r="Q20" s="71" t="s">
        <v>38</v>
      </c>
      <c r="R20" s="19" t="s">
        <v>43</v>
      </c>
      <c r="T20" s="20"/>
      <c r="U20" s="69"/>
      <c r="V20" s="69"/>
      <c r="W20" s="19" t="s">
        <v>87</v>
      </c>
      <c r="X20" s="1" t="s">
        <v>88</v>
      </c>
      <c r="AA20" s="69"/>
    </row>
    <row r="21">
      <c r="E21" s="33" t="s">
        <v>40</v>
      </c>
      <c r="F21" s="1" t="s">
        <v>57</v>
      </c>
      <c r="H21" s="34"/>
      <c r="J21" s="59"/>
      <c r="K21" s="70" t="s">
        <v>40</v>
      </c>
      <c r="L21" s="70" t="s">
        <v>40</v>
      </c>
      <c r="M21" s="70" t="s">
        <v>40</v>
      </c>
      <c r="N21" s="70" t="s">
        <v>38</v>
      </c>
      <c r="O21" s="70" t="s">
        <v>38</v>
      </c>
      <c r="P21" s="70" t="s">
        <v>40</v>
      </c>
      <c r="Q21" s="70" t="s">
        <v>40</v>
      </c>
      <c r="R21" s="13" t="s">
        <v>45</v>
      </c>
      <c r="T21" s="20"/>
      <c r="U21" s="69"/>
      <c r="V21" s="69"/>
      <c r="W21" s="13" t="s">
        <v>5</v>
      </c>
      <c r="X21" s="1" t="s">
        <v>89</v>
      </c>
      <c r="AA21" s="69"/>
    </row>
    <row r="22">
      <c r="E22" s="33" t="s">
        <v>58</v>
      </c>
      <c r="F22" s="1" t="s">
        <v>59</v>
      </c>
      <c r="H22" s="34"/>
      <c r="I22" s="72"/>
      <c r="J22" s="73"/>
      <c r="K22" s="60" t="s">
        <v>38</v>
      </c>
      <c r="L22" s="60" t="s">
        <v>38</v>
      </c>
      <c r="M22" s="60" t="s">
        <v>38</v>
      </c>
      <c r="N22" s="60" t="s">
        <v>40</v>
      </c>
      <c r="O22" s="60" t="s">
        <v>40</v>
      </c>
      <c r="P22" s="61" t="s">
        <v>39</v>
      </c>
      <c r="Q22" s="61" t="s">
        <v>39</v>
      </c>
      <c r="R22" s="13" t="s">
        <v>47</v>
      </c>
      <c r="T22" s="20"/>
      <c r="U22" s="60"/>
      <c r="V22" s="60"/>
      <c r="W22" s="13" t="s">
        <v>6</v>
      </c>
      <c r="X22" s="1" t="s">
        <v>90</v>
      </c>
      <c r="AA22" s="61"/>
    </row>
    <row r="23">
      <c r="E23" s="33" t="s">
        <v>60</v>
      </c>
      <c r="F23" s="1" t="s">
        <v>61</v>
      </c>
      <c r="H23" s="34"/>
      <c r="I23" s="20"/>
      <c r="J23" s="59"/>
      <c r="K23" s="70" t="s">
        <v>40</v>
      </c>
      <c r="L23" s="70" t="s">
        <v>40</v>
      </c>
      <c r="M23" s="70" t="s">
        <v>39</v>
      </c>
      <c r="N23" s="70" t="s">
        <v>39</v>
      </c>
      <c r="O23" s="70" t="s">
        <v>39</v>
      </c>
      <c r="P23" s="70" t="s">
        <v>40</v>
      </c>
      <c r="Q23" s="70" t="s">
        <v>40</v>
      </c>
      <c r="R23" s="13" t="s">
        <v>48</v>
      </c>
      <c r="T23" s="20"/>
      <c r="U23" s="69"/>
      <c r="V23" s="69"/>
      <c r="W23" s="13" t="s">
        <v>7</v>
      </c>
      <c r="X23" s="1" t="s">
        <v>91</v>
      </c>
      <c r="AA23" s="69"/>
    </row>
    <row r="24">
      <c r="E24" s="33" t="s">
        <v>44</v>
      </c>
      <c r="F24" s="1" t="s">
        <v>62</v>
      </c>
      <c r="H24" s="34"/>
      <c r="I24" s="20"/>
      <c r="J24" s="55"/>
      <c r="K24" s="69" t="s">
        <v>39</v>
      </c>
      <c r="L24" s="69" t="s">
        <v>39</v>
      </c>
      <c r="M24" s="69" t="s">
        <v>40</v>
      </c>
      <c r="N24" s="69" t="s">
        <v>40</v>
      </c>
      <c r="O24" s="69" t="s">
        <v>40</v>
      </c>
      <c r="P24" s="69" t="s">
        <v>38</v>
      </c>
      <c r="Q24" s="69" t="s">
        <v>60</v>
      </c>
      <c r="R24" s="13" t="s">
        <v>73</v>
      </c>
      <c r="T24" s="20"/>
      <c r="U24" s="60"/>
      <c r="V24" s="60"/>
      <c r="W24" s="13" t="s">
        <v>8</v>
      </c>
      <c r="X24" s="1" t="s">
        <v>92</v>
      </c>
      <c r="AA24" s="61"/>
    </row>
    <row r="25">
      <c r="E25" s="33" t="s">
        <v>63</v>
      </c>
      <c r="F25" s="1" t="s">
        <v>64</v>
      </c>
      <c r="H25" s="34"/>
      <c r="K25" s="22"/>
      <c r="L25" s="22"/>
      <c r="M25" s="22"/>
      <c r="N25" s="22"/>
      <c r="O25" s="22"/>
      <c r="P25" s="22"/>
      <c r="Q25" s="22"/>
      <c r="U25" s="22"/>
      <c r="V25" s="22"/>
      <c r="W25" s="22"/>
      <c r="X25" s="22"/>
      <c r="Y25" s="22"/>
      <c r="Z25" s="22"/>
      <c r="AA25" s="22"/>
    </row>
    <row r="26">
      <c r="E26" s="33" t="s">
        <v>65</v>
      </c>
      <c r="F26" s="1" t="s">
        <v>66</v>
      </c>
      <c r="H26" s="34"/>
      <c r="K26" s="24">
        <f t="shared" ref="K26:Q26" si="9">COUNTIF(K20:K24,"D")</f>
        <v>1</v>
      </c>
      <c r="L26" s="24">
        <f t="shared" si="9"/>
        <v>1</v>
      </c>
      <c r="M26" s="24">
        <f t="shared" si="9"/>
        <v>1</v>
      </c>
      <c r="N26" s="24">
        <f t="shared" si="9"/>
        <v>1</v>
      </c>
      <c r="O26" s="24">
        <f t="shared" si="9"/>
        <v>1</v>
      </c>
      <c r="P26" s="24">
        <f t="shared" si="9"/>
        <v>1</v>
      </c>
      <c r="Q26" s="24">
        <f t="shared" si="9"/>
        <v>1</v>
      </c>
      <c r="U26" s="25"/>
      <c r="V26" s="25"/>
      <c r="W26" s="25"/>
      <c r="X26" s="25"/>
      <c r="Y26" s="25"/>
      <c r="Z26" s="25"/>
      <c r="AA26" s="25"/>
    </row>
    <row r="27">
      <c r="E27" s="33" t="s">
        <v>46</v>
      </c>
      <c r="F27" s="1" t="s">
        <v>67</v>
      </c>
      <c r="H27" s="34"/>
      <c r="K27" s="27">
        <f t="shared" ref="K27:Q27" si="10">COUNTIF(K20:K24,"N")</f>
        <v>1</v>
      </c>
      <c r="L27" s="27">
        <f t="shared" si="10"/>
        <v>1</v>
      </c>
      <c r="M27" s="27">
        <f t="shared" si="10"/>
        <v>1</v>
      </c>
      <c r="N27" s="27">
        <f t="shared" si="10"/>
        <v>1</v>
      </c>
      <c r="O27" s="27">
        <f t="shared" si="10"/>
        <v>1</v>
      </c>
      <c r="P27" s="27">
        <f t="shared" si="10"/>
        <v>1</v>
      </c>
      <c r="Q27" s="27">
        <f t="shared" si="10"/>
        <v>1</v>
      </c>
      <c r="U27" s="25"/>
      <c r="V27" s="25"/>
      <c r="W27" s="25"/>
      <c r="X27" s="25"/>
      <c r="Y27" s="25"/>
      <c r="Z27" s="25"/>
      <c r="AA27" s="25"/>
    </row>
    <row r="28">
      <c r="E28" s="35" t="s">
        <v>68</v>
      </c>
      <c r="F28" s="36" t="s">
        <v>69</v>
      </c>
      <c r="G28" s="8"/>
      <c r="H28" s="37"/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15">
    <mergeCell ref="F21:H21"/>
    <mergeCell ref="F22:H22"/>
    <mergeCell ref="F23:H23"/>
    <mergeCell ref="F24:H24"/>
    <mergeCell ref="F25:H25"/>
    <mergeCell ref="F26:H26"/>
    <mergeCell ref="F27:H27"/>
    <mergeCell ref="F28:H28"/>
    <mergeCell ref="B1:AC3"/>
    <mergeCell ref="E16:H16"/>
    <mergeCell ref="K16:Q16"/>
    <mergeCell ref="F17:H17"/>
    <mergeCell ref="F18:H18"/>
    <mergeCell ref="F19:H19"/>
    <mergeCell ref="F20:H20"/>
  </mergeCells>
  <conditionalFormatting sqref="B9:H9 T22:V22 AA22">
    <cfRule type="cellIs" dxfId="0" priority="1" operator="equal">
      <formula>"X"</formula>
    </cfRule>
  </conditionalFormatting>
  <conditionalFormatting sqref="B9:H9 T22:V22 AA22">
    <cfRule type="cellIs" dxfId="1" priority="2" operator="equal">
      <formula>"D"</formula>
    </cfRule>
  </conditionalFormatting>
  <conditionalFormatting sqref="B9:H9 T22:V22 AA22">
    <cfRule type="cellIs" dxfId="2" priority="3" operator="equal">
      <formula>"N"</formula>
    </cfRule>
  </conditionalFormatting>
  <conditionalFormatting sqref="B9:H9 T22:V22 AA22">
    <cfRule type="cellIs" dxfId="3" priority="4" operator="equal">
      <formula>"OB"</formula>
    </cfRule>
  </conditionalFormatting>
  <conditionalFormatting sqref="B9:H9 T22:V22 AA22">
    <cfRule type="cellIs" dxfId="0" priority="5" operator="equal">
      <formula>"C"</formula>
    </cfRule>
  </conditionalFormatting>
  <conditionalFormatting sqref="B9:H9 T22:V22 AA22">
    <cfRule type="cellIs" dxfId="0" priority="6" operator="equal">
      <formula>"AL"</formula>
    </cfRule>
  </conditionalFormatting>
  <conditionalFormatting sqref="B9:H9 T22:V22 AA22">
    <cfRule type="cellIs" dxfId="4" priority="7" operator="equal">
      <formula>"UP"</formula>
    </cfRule>
  </conditionalFormatting>
  <conditionalFormatting sqref="B9:H9 T22:V22 AA22">
    <cfRule type="cellIs" dxfId="0" priority="8" operator="equal">
      <formula>"S"</formula>
    </cfRule>
  </conditionalFormatting>
  <conditionalFormatting sqref="B9:H9 T22:V22 AA22">
    <cfRule type="cellIs" dxfId="5" priority="9" operator="equal">
      <formula>"OC"</formula>
    </cfRule>
  </conditionalFormatting>
  <conditionalFormatting sqref="B9:H9 T22:V22 AA22">
    <cfRule type="cellIs" dxfId="6" priority="10" operator="equal">
      <formula>"SPV"</formula>
    </cfRule>
  </conditionalFormatting>
  <conditionalFormatting sqref="B9:H9 T22:V22 AA22">
    <cfRule type="cellIs" dxfId="7" priority="11" operator="equal">
      <formula>"INT"</formula>
    </cfRule>
  </conditionalFormatting>
  <conditionalFormatting sqref="B9:H9 T22:V22 AA22">
    <cfRule type="cellIs" dxfId="8" priority="12" operator="equal">
      <formula>"T"</formula>
    </cfRule>
  </conditionalFormatting>
  <conditionalFormatting sqref="B6:F11 G7:AC11 E17:E28 J20:J24 K20:Q25 T20:T21 U20:V24 AA20:AA24 I22:I24 T23:T24 B33:H36 G38:J38">
    <cfRule type="cellIs" dxfId="0" priority="13" operator="equal">
      <formula>"X"</formula>
    </cfRule>
  </conditionalFormatting>
  <conditionalFormatting sqref="B6:F11 G7:AC11 E17:E28 J20:J24 K20:Q25 T20:T21 U20:V24 AA20:AA24 I22:I24 T23:T24 B33:H36 G38:J38">
    <cfRule type="cellIs" dxfId="1" priority="14" operator="equal">
      <formula>"D"</formula>
    </cfRule>
  </conditionalFormatting>
  <conditionalFormatting sqref="B6:F11 G7:AC11 E17:E28 J20:J24 K20:Q25 T20:T21 U20:V24 AA20:AA24 I22:I24 T23:T24 B33:H36 G38:J38">
    <cfRule type="cellIs" dxfId="2" priority="15" operator="equal">
      <formula>"N"</formula>
    </cfRule>
  </conditionalFormatting>
  <conditionalFormatting sqref="B6:F11 G7:AC11 E17:E28 J20:J24 K20:Q25 T20:T21 U20:V24 AA20:AA24 I22:I24 T23:T24 B33:H36 G38:J38">
    <cfRule type="cellIs" dxfId="3" priority="16" operator="equal">
      <formula>"OB"</formula>
    </cfRule>
  </conditionalFormatting>
  <conditionalFormatting sqref="B6:F11 G7:AC11 E17:E28 J20:J24 K20:Q25 T20:T21 U20:V24 AA20:AA24 I22:I24 T23:T24 B33:H36 G38:J38">
    <cfRule type="cellIs" dxfId="0" priority="17" operator="equal">
      <formula>"C"</formula>
    </cfRule>
  </conditionalFormatting>
  <conditionalFormatting sqref="B6:F11 G7:AC11 E17:E28 J20:J24 K20:Q25 T20:T21 U20:V24 AA20:AA24 I22:I24 T23:T24 B33:H36 G38:J38">
    <cfRule type="cellIs" dxfId="0" priority="18" operator="equal">
      <formula>"AL"</formula>
    </cfRule>
  </conditionalFormatting>
  <conditionalFormatting sqref="B6:F11 G7:AC11 E17:E28 J20:J24 K20:Q25 T20:T21 U20:V24 AA20:AA24 I22:I24 T23:T24 B33:H36 G38:J38">
    <cfRule type="cellIs" dxfId="4" priority="19" operator="equal">
      <formula>"UP"</formula>
    </cfRule>
  </conditionalFormatting>
  <conditionalFormatting sqref="B6:F11 G7:AC11 E17:E28 J20:J24 K20:Q25 T20:T21 U20:V24 AA20:AA24 I22:I24 T23:T24 B33:H36 G38:J38">
    <cfRule type="cellIs" dxfId="0" priority="20" operator="equal">
      <formula>"S"</formula>
    </cfRule>
  </conditionalFormatting>
  <conditionalFormatting sqref="B6:F11 G7:AC11 E17:E28 J20:J24 K20:Q25 T20:T21 U20:V24 AA20:AA24 I22:I24 T23:T24 B33:H36 G38:J38">
    <cfRule type="cellIs" dxfId="5" priority="21" operator="equal">
      <formula>"OC"</formula>
    </cfRule>
  </conditionalFormatting>
  <conditionalFormatting sqref="B6:F11 G7:AC11 E17:E28 J20:J24 K20:Q25 T20:T21 U20:V24 AA20:AA24 I22:I24 T23:T24 B33:H36 G38:J38">
    <cfRule type="cellIs" dxfId="6" priority="22" operator="equal">
      <formula>"SPV"</formula>
    </cfRule>
  </conditionalFormatting>
  <conditionalFormatting sqref="B6:F11 G7:AC11 E17:E28 J20:J24 K20:Q25 T20:T21 U20:V24 AA20:AA24 I22:I24 T23:T24 B33:H36 G38:J38">
    <cfRule type="cellIs" dxfId="7" priority="23" operator="equal">
      <formula>"INT"</formula>
    </cfRule>
  </conditionalFormatting>
  <conditionalFormatting sqref="B7:AC11 J20:Q24 T20:T21 U20:V24 AA20:AA24 T23:T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24</v>
      </c>
      <c r="C5" s="13" t="s">
        <v>25</v>
      </c>
      <c r="D5" s="13" t="s">
        <v>26</v>
      </c>
      <c r="E5" s="13" t="s">
        <v>27</v>
      </c>
      <c r="F5" s="13" t="s">
        <v>28</v>
      </c>
      <c r="G5" s="13" t="s">
        <v>29</v>
      </c>
      <c r="H5" s="13" t="s">
        <v>30</v>
      </c>
      <c r="I5" s="13" t="s">
        <v>31</v>
      </c>
      <c r="J5" s="13" t="s">
        <v>32</v>
      </c>
      <c r="K5" s="13" t="s">
        <v>33</v>
      </c>
      <c r="L5" s="13" t="s">
        <v>34</v>
      </c>
      <c r="M5" s="13" t="s">
        <v>35</v>
      </c>
      <c r="N5" s="13" t="s">
        <v>71</v>
      </c>
      <c r="O5" s="13" t="s">
        <v>75</v>
      </c>
      <c r="P5" s="13" t="s">
        <v>10</v>
      </c>
      <c r="Q5" s="13" t="s">
        <v>11</v>
      </c>
      <c r="R5" s="13" t="s">
        <v>12</v>
      </c>
      <c r="S5" s="13" t="s">
        <v>13</v>
      </c>
      <c r="T5" s="13" t="s">
        <v>14</v>
      </c>
      <c r="U5" s="13" t="s">
        <v>15</v>
      </c>
      <c r="V5" s="13" t="s">
        <v>16</v>
      </c>
      <c r="W5" s="13" t="s">
        <v>17</v>
      </c>
      <c r="X5" s="13" t="s">
        <v>18</v>
      </c>
      <c r="Y5" s="13" t="s">
        <v>19</v>
      </c>
      <c r="Z5" s="13" t="s">
        <v>20</v>
      </c>
      <c r="AA5" s="13" t="s">
        <v>21</v>
      </c>
      <c r="AB5" s="13" t="s">
        <v>22</v>
      </c>
      <c r="AC5" s="13" t="s">
        <v>23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69" t="s">
        <v>39</v>
      </c>
      <c r="C7" s="69" t="s">
        <v>39</v>
      </c>
      <c r="D7" s="69" t="s">
        <v>40</v>
      </c>
      <c r="E7" s="69" t="s">
        <v>40</v>
      </c>
      <c r="F7" s="69" t="s">
        <v>40</v>
      </c>
      <c r="G7" s="69" t="s">
        <v>38</v>
      </c>
      <c r="H7" s="69" t="s">
        <v>38</v>
      </c>
      <c r="I7" s="60" t="s">
        <v>40</v>
      </c>
      <c r="J7" s="60" t="s">
        <v>40</v>
      </c>
      <c r="K7" s="60" t="s">
        <v>39</v>
      </c>
      <c r="L7" s="60" t="s">
        <v>39</v>
      </c>
      <c r="M7" s="60" t="s">
        <v>39</v>
      </c>
      <c r="N7" s="61" t="s">
        <v>40</v>
      </c>
      <c r="O7" s="61" t="s">
        <v>38</v>
      </c>
      <c r="P7" s="70" t="s">
        <v>40</v>
      </c>
      <c r="Q7" s="70" t="s">
        <v>40</v>
      </c>
      <c r="R7" s="70" t="s">
        <v>39</v>
      </c>
      <c r="S7" s="70" t="s">
        <v>39</v>
      </c>
      <c r="T7" s="70" t="s">
        <v>39</v>
      </c>
      <c r="U7" s="70" t="s">
        <v>40</v>
      </c>
      <c r="V7" s="70" t="s">
        <v>40</v>
      </c>
      <c r="W7" s="71" t="s">
        <v>38</v>
      </c>
      <c r="X7" s="71" t="s">
        <v>38</v>
      </c>
      <c r="Y7" s="71" t="s">
        <v>40</v>
      </c>
      <c r="Z7" s="71" t="s">
        <v>40</v>
      </c>
      <c r="AA7" s="71" t="s">
        <v>39</v>
      </c>
      <c r="AB7" s="71" t="s">
        <v>39</v>
      </c>
      <c r="AC7" s="71" t="s">
        <v>40</v>
      </c>
      <c r="AG7" s="49">
        <f t="shared" ref="AG7:AG11" si="1">COUNTIF(B7:AC7,"D")</f>
        <v>5</v>
      </c>
      <c r="AH7" s="49">
        <f t="shared" ref="AH7:AH11" si="2">COUNTIF(B7:AC7,"N")</f>
        <v>10</v>
      </c>
      <c r="AI7" s="49">
        <f t="shared" ref="AI7:AI11" si="3">COUNTIF(B7:AC7,"X")</f>
        <v>13</v>
      </c>
      <c r="AJ7" s="49">
        <f t="shared" ref="AJ7:AJ11" si="4">COUNTIF(B7:AC7,"INT")</f>
        <v>0</v>
      </c>
      <c r="AK7" s="49">
        <f t="shared" ref="AK7:AK11" si="5">SUM(AG7+AH7+AJ7)</f>
        <v>15</v>
      </c>
      <c r="AL7" s="49">
        <f t="shared" ref="AL7:AL11" si="6">((AG7*12)+(AH7*12)+(AJ7*8))/4</f>
        <v>45</v>
      </c>
    </row>
    <row r="8">
      <c r="A8" s="13" t="s">
        <v>45</v>
      </c>
      <c r="B8" s="69" t="s">
        <v>40</v>
      </c>
      <c r="C8" s="69" t="s">
        <v>40</v>
      </c>
      <c r="D8" s="69" t="s">
        <v>39</v>
      </c>
      <c r="E8" s="69" t="s">
        <v>39</v>
      </c>
      <c r="F8" s="69" t="s">
        <v>39</v>
      </c>
      <c r="G8" s="69" t="s">
        <v>40</v>
      </c>
      <c r="H8" s="69" t="s">
        <v>40</v>
      </c>
      <c r="I8" s="69" t="s">
        <v>41</v>
      </c>
      <c r="J8" s="69" t="s">
        <v>41</v>
      </c>
      <c r="K8" s="69" t="s">
        <v>41</v>
      </c>
      <c r="L8" s="69" t="s">
        <v>41</v>
      </c>
      <c r="M8" s="69" t="s">
        <v>41</v>
      </c>
      <c r="N8" s="69" t="s">
        <v>68</v>
      </c>
      <c r="O8" s="69" t="s">
        <v>68</v>
      </c>
      <c r="P8" s="60" t="s">
        <v>39</v>
      </c>
      <c r="Q8" s="60" t="s">
        <v>39</v>
      </c>
      <c r="R8" s="60" t="s">
        <v>40</v>
      </c>
      <c r="S8" s="60" t="s">
        <v>40</v>
      </c>
      <c r="T8" s="60" t="s">
        <v>40</v>
      </c>
      <c r="U8" s="61" t="s">
        <v>38</v>
      </c>
      <c r="V8" s="61" t="s">
        <v>38</v>
      </c>
      <c r="W8" s="70" t="s">
        <v>40</v>
      </c>
      <c r="X8" s="70" t="s">
        <v>40</v>
      </c>
      <c r="Y8" s="70" t="s">
        <v>39</v>
      </c>
      <c r="Z8" s="70" t="s">
        <v>39</v>
      </c>
      <c r="AA8" s="70" t="s">
        <v>40</v>
      </c>
      <c r="AB8" s="70" t="s">
        <v>40</v>
      </c>
      <c r="AC8" s="70" t="s">
        <v>60</v>
      </c>
      <c r="AG8" s="49">
        <f t="shared" si="1"/>
        <v>2</v>
      </c>
      <c r="AH8" s="49">
        <f t="shared" si="2"/>
        <v>7</v>
      </c>
      <c r="AI8" s="49">
        <f t="shared" si="3"/>
        <v>11</v>
      </c>
      <c r="AJ8" s="49">
        <f t="shared" si="4"/>
        <v>5</v>
      </c>
      <c r="AK8" s="49">
        <f t="shared" si="5"/>
        <v>14</v>
      </c>
      <c r="AL8" s="49">
        <f t="shared" si="6"/>
        <v>37</v>
      </c>
    </row>
    <row r="9">
      <c r="A9" s="13" t="s">
        <v>47</v>
      </c>
      <c r="B9" s="60" t="s">
        <v>38</v>
      </c>
      <c r="C9" s="60" t="s">
        <v>38</v>
      </c>
      <c r="D9" s="60" t="s">
        <v>40</v>
      </c>
      <c r="E9" s="60" t="s">
        <v>40</v>
      </c>
      <c r="F9" s="60" t="s">
        <v>40</v>
      </c>
      <c r="G9" s="61" t="s">
        <v>39</v>
      </c>
      <c r="H9" s="61" t="s">
        <v>39</v>
      </c>
      <c r="I9" s="70" t="s">
        <v>44</v>
      </c>
      <c r="J9" s="70" t="s">
        <v>44</v>
      </c>
      <c r="K9" s="70" t="s">
        <v>44</v>
      </c>
      <c r="L9" s="70" t="s">
        <v>44</v>
      </c>
      <c r="M9" s="70" t="s">
        <v>44</v>
      </c>
      <c r="N9" s="70" t="s">
        <v>40</v>
      </c>
      <c r="O9" s="70" t="s">
        <v>40</v>
      </c>
      <c r="P9" s="70" t="s">
        <v>38</v>
      </c>
      <c r="Q9" s="70" t="s">
        <v>38</v>
      </c>
      <c r="R9" s="70" t="s">
        <v>38</v>
      </c>
      <c r="S9" s="70" t="s">
        <v>40</v>
      </c>
      <c r="T9" s="70" t="s">
        <v>40</v>
      </c>
      <c r="U9" s="70" t="s">
        <v>39</v>
      </c>
      <c r="V9" s="70" t="s">
        <v>40</v>
      </c>
      <c r="W9" s="60" t="s">
        <v>41</v>
      </c>
      <c r="X9" s="60" t="s">
        <v>41</v>
      </c>
      <c r="Y9" s="60" t="s">
        <v>41</v>
      </c>
      <c r="Z9" s="60" t="s">
        <v>41</v>
      </c>
      <c r="AA9" s="60" t="s">
        <v>41</v>
      </c>
      <c r="AB9" s="61" t="s">
        <v>68</v>
      </c>
      <c r="AC9" s="61" t="s">
        <v>38</v>
      </c>
      <c r="AG9" s="49">
        <f t="shared" si="1"/>
        <v>6</v>
      </c>
      <c r="AH9" s="49">
        <f t="shared" si="2"/>
        <v>3</v>
      </c>
      <c r="AI9" s="49">
        <f t="shared" si="3"/>
        <v>8</v>
      </c>
      <c r="AJ9" s="49">
        <f t="shared" si="4"/>
        <v>5</v>
      </c>
      <c r="AK9" s="49">
        <f t="shared" si="5"/>
        <v>14</v>
      </c>
      <c r="AL9" s="49">
        <f t="shared" si="6"/>
        <v>37</v>
      </c>
    </row>
    <row r="10">
      <c r="A10" s="13" t="s">
        <v>48</v>
      </c>
      <c r="B10" s="69" t="s">
        <v>40</v>
      </c>
      <c r="C10" s="69" t="s">
        <v>40</v>
      </c>
      <c r="D10" s="69" t="s">
        <v>38</v>
      </c>
      <c r="E10" s="69" t="s">
        <v>38</v>
      </c>
      <c r="F10" s="69" t="s">
        <v>38</v>
      </c>
      <c r="G10" s="69" t="s">
        <v>40</v>
      </c>
      <c r="H10" s="69" t="s">
        <v>40</v>
      </c>
      <c r="I10" s="69" t="s">
        <v>39</v>
      </c>
      <c r="J10" s="69" t="s">
        <v>39</v>
      </c>
      <c r="K10" s="69" t="s">
        <v>40</v>
      </c>
      <c r="L10" s="69" t="s">
        <v>38</v>
      </c>
      <c r="M10" s="69" t="s">
        <v>38</v>
      </c>
      <c r="N10" s="69" t="s">
        <v>38</v>
      </c>
      <c r="O10" s="69" t="s">
        <v>40</v>
      </c>
      <c r="P10" s="69" t="s">
        <v>41</v>
      </c>
      <c r="Q10" s="69" t="s">
        <v>41</v>
      </c>
      <c r="R10" s="69" t="s">
        <v>41</v>
      </c>
      <c r="S10" s="69" t="s">
        <v>41</v>
      </c>
      <c r="T10" s="69" t="s">
        <v>41</v>
      </c>
      <c r="U10" s="69" t="s">
        <v>68</v>
      </c>
      <c r="V10" s="69" t="s">
        <v>68</v>
      </c>
      <c r="W10" s="70" t="s">
        <v>39</v>
      </c>
      <c r="X10" s="70" t="s">
        <v>39</v>
      </c>
      <c r="Y10" s="70" t="s">
        <v>40</v>
      </c>
      <c r="Z10" s="70" t="s">
        <v>40</v>
      </c>
      <c r="AA10" s="70" t="s">
        <v>38</v>
      </c>
      <c r="AB10" s="70" t="s">
        <v>38</v>
      </c>
      <c r="AC10" s="70" t="s">
        <v>40</v>
      </c>
      <c r="AG10" s="49">
        <f t="shared" si="1"/>
        <v>8</v>
      </c>
      <c r="AH10" s="49">
        <f t="shared" si="2"/>
        <v>4</v>
      </c>
      <c r="AI10" s="49">
        <f t="shared" si="3"/>
        <v>9</v>
      </c>
      <c r="AJ10" s="49">
        <f t="shared" si="4"/>
        <v>5</v>
      </c>
      <c r="AK10" s="49">
        <f t="shared" si="5"/>
        <v>17</v>
      </c>
      <c r="AL10" s="49">
        <f t="shared" si="6"/>
        <v>46</v>
      </c>
    </row>
    <row r="11">
      <c r="A11" s="13" t="s">
        <v>84</v>
      </c>
      <c r="B11" s="60" t="s">
        <v>41</v>
      </c>
      <c r="C11" s="60" t="s">
        <v>41</v>
      </c>
      <c r="D11" s="60" t="s">
        <v>41</v>
      </c>
      <c r="E11" s="60" t="s">
        <v>41</v>
      </c>
      <c r="F11" s="60" t="s">
        <v>41</v>
      </c>
      <c r="G11" s="61" t="s">
        <v>68</v>
      </c>
      <c r="H11" s="61" t="s">
        <v>68</v>
      </c>
      <c r="I11" s="69" t="s">
        <v>38</v>
      </c>
      <c r="J11" s="69" t="s">
        <v>38</v>
      </c>
      <c r="K11" s="69" t="s">
        <v>38</v>
      </c>
      <c r="L11" s="69" t="s">
        <v>40</v>
      </c>
      <c r="M11" s="69" t="s">
        <v>40</v>
      </c>
      <c r="N11" s="69" t="s">
        <v>39</v>
      </c>
      <c r="O11" s="69" t="s">
        <v>39</v>
      </c>
      <c r="P11" s="70" t="s">
        <v>40</v>
      </c>
      <c r="Q11" s="70" t="s">
        <v>40</v>
      </c>
      <c r="R11" s="70" t="s">
        <v>40</v>
      </c>
      <c r="S11" s="70" t="s">
        <v>38</v>
      </c>
      <c r="T11" s="70" t="s">
        <v>38</v>
      </c>
      <c r="U11" s="70" t="s">
        <v>40</v>
      </c>
      <c r="V11" s="70" t="s">
        <v>39</v>
      </c>
      <c r="W11" s="69" t="s">
        <v>40</v>
      </c>
      <c r="X11" s="69" t="s">
        <v>40</v>
      </c>
      <c r="Y11" s="69" t="s">
        <v>38</v>
      </c>
      <c r="Z11" s="69" t="s">
        <v>38</v>
      </c>
      <c r="AA11" s="69" t="s">
        <v>40</v>
      </c>
      <c r="AB11" s="69" t="s">
        <v>40</v>
      </c>
      <c r="AC11" s="69" t="s">
        <v>39</v>
      </c>
      <c r="AG11" s="49">
        <f t="shared" si="1"/>
        <v>7</v>
      </c>
      <c r="AH11" s="49">
        <f t="shared" si="2"/>
        <v>4</v>
      </c>
      <c r="AI11" s="49">
        <f t="shared" si="3"/>
        <v>10</v>
      </c>
      <c r="AJ11" s="49">
        <f t="shared" si="4"/>
        <v>5</v>
      </c>
      <c r="AK11" s="49">
        <f t="shared" si="5"/>
        <v>16</v>
      </c>
      <c r="AL11" s="49">
        <f t="shared" si="6"/>
        <v>43</v>
      </c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1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69"/>
      <c r="J16" s="69"/>
      <c r="K16" s="69"/>
      <c r="L16" s="69"/>
      <c r="M16" s="69"/>
      <c r="N16" s="69"/>
      <c r="O16" s="69"/>
      <c r="P16" s="70"/>
      <c r="Q16" s="70"/>
      <c r="R16" s="70"/>
      <c r="S16" s="70"/>
      <c r="T16" s="70"/>
      <c r="U16" s="70"/>
      <c r="V16" s="70"/>
      <c r="W16" s="69"/>
      <c r="X16" s="69"/>
      <c r="Y16" s="69"/>
      <c r="Z16" s="69"/>
      <c r="AA16" s="69"/>
      <c r="AB16" s="69"/>
      <c r="AC16" s="69"/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11"/>
      <c r="K17" s="11"/>
      <c r="L17" s="11"/>
      <c r="M17" s="11"/>
      <c r="N17" s="11"/>
      <c r="O17" s="11"/>
      <c r="P17" s="11"/>
      <c r="Q17" s="13"/>
      <c r="R17" s="11"/>
      <c r="S17" s="11"/>
      <c r="T17" s="11"/>
      <c r="U17" s="11"/>
      <c r="V17" s="11"/>
      <c r="W17" s="11"/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/>
      <c r="K18" s="13"/>
      <c r="L18" s="9" t="s">
        <v>2</v>
      </c>
      <c r="M18" s="9" t="s">
        <v>3</v>
      </c>
      <c r="N18" s="9" t="s">
        <v>4</v>
      </c>
      <c r="O18" s="9" t="s">
        <v>5</v>
      </c>
      <c r="P18" s="9" t="s">
        <v>6</v>
      </c>
      <c r="Q18" s="9" t="s">
        <v>7</v>
      </c>
      <c r="R18" s="9" t="s">
        <v>8</v>
      </c>
      <c r="S18" s="13"/>
      <c r="T18" s="13"/>
      <c r="U18" s="13"/>
      <c r="V18" s="13"/>
      <c r="W18" s="13"/>
      <c r="X18" s="78" t="s">
        <v>94</v>
      </c>
      <c r="Y18" s="76"/>
      <c r="Z18" s="76"/>
      <c r="AA18" s="76"/>
      <c r="AB18" s="77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L19" s="13" t="s">
        <v>17</v>
      </c>
      <c r="M19" s="13" t="s">
        <v>18</v>
      </c>
      <c r="N19" s="13" t="s">
        <v>19</v>
      </c>
      <c r="O19" s="13" t="s">
        <v>20</v>
      </c>
      <c r="P19" s="13" t="s">
        <v>21</v>
      </c>
      <c r="Q19" s="13" t="s">
        <v>22</v>
      </c>
      <c r="R19" s="13" t="s">
        <v>23</v>
      </c>
      <c r="X19" s="78" t="s">
        <v>95</v>
      </c>
      <c r="Y19" s="76"/>
      <c r="Z19" s="77"/>
      <c r="AA19" s="78" t="s">
        <v>96</v>
      </c>
      <c r="AB19" s="77"/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L20" s="68"/>
      <c r="M20" s="68"/>
      <c r="N20" s="68"/>
      <c r="O20" s="68"/>
      <c r="P20" s="68"/>
      <c r="Q20" s="68"/>
      <c r="R20" s="68"/>
      <c r="T20" s="20"/>
      <c r="U20" s="20"/>
      <c r="V20" s="20"/>
      <c r="W20" s="20"/>
      <c r="X20" s="79" t="s">
        <v>43</v>
      </c>
      <c r="Y20" s="76"/>
      <c r="Z20" s="77"/>
      <c r="AA20" s="80" t="s">
        <v>97</v>
      </c>
      <c r="AB20" s="77"/>
    </row>
    <row r="21">
      <c r="E21" s="33" t="s">
        <v>40</v>
      </c>
      <c r="F21" s="1" t="s">
        <v>57</v>
      </c>
      <c r="H21" s="34"/>
      <c r="J21" s="59"/>
      <c r="K21" s="59"/>
      <c r="L21" s="71" t="s">
        <v>41</v>
      </c>
      <c r="M21" s="71" t="s">
        <v>41</v>
      </c>
      <c r="N21" s="71" t="s">
        <v>41</v>
      </c>
      <c r="O21" s="71" t="s">
        <v>41</v>
      </c>
      <c r="P21" s="71" t="s">
        <v>60</v>
      </c>
      <c r="Q21" s="71" t="s">
        <v>68</v>
      </c>
      <c r="R21" s="71" t="s">
        <v>68</v>
      </c>
      <c r="S21" s="19" t="s">
        <v>43</v>
      </c>
      <c r="T21" s="20"/>
      <c r="U21" s="20"/>
      <c r="V21" s="20"/>
      <c r="W21" s="20"/>
      <c r="X21" s="78" t="s">
        <v>84</v>
      </c>
      <c r="Y21" s="76"/>
      <c r="Z21" s="77"/>
      <c r="AA21" s="80" t="s">
        <v>98</v>
      </c>
      <c r="AB21" s="77"/>
    </row>
    <row r="22">
      <c r="E22" s="33" t="s">
        <v>58</v>
      </c>
      <c r="F22" s="1" t="s">
        <v>59</v>
      </c>
      <c r="H22" s="34"/>
      <c r="I22" s="72"/>
      <c r="J22" s="73"/>
      <c r="K22" s="73"/>
      <c r="L22" s="70" t="s">
        <v>40</v>
      </c>
      <c r="M22" s="70" t="s">
        <v>39</v>
      </c>
      <c r="N22" s="70" t="s">
        <v>39</v>
      </c>
      <c r="O22" s="70" t="s">
        <v>39</v>
      </c>
      <c r="P22" s="70" t="s">
        <v>40</v>
      </c>
      <c r="Q22" s="70" t="s">
        <v>38</v>
      </c>
      <c r="R22" s="70" t="s">
        <v>38</v>
      </c>
      <c r="S22" s="13" t="s">
        <v>45</v>
      </c>
      <c r="T22" s="20"/>
      <c r="U22" s="20"/>
      <c r="V22" s="20"/>
      <c r="W22" s="20"/>
      <c r="X22" s="78" t="s">
        <v>45</v>
      </c>
      <c r="Y22" s="76"/>
      <c r="Z22" s="77"/>
      <c r="AA22" s="80" t="s">
        <v>99</v>
      </c>
      <c r="AB22" s="77"/>
    </row>
    <row r="23">
      <c r="E23" s="33" t="s">
        <v>60</v>
      </c>
      <c r="F23" s="1" t="s">
        <v>61</v>
      </c>
      <c r="H23" s="34"/>
      <c r="I23" s="20"/>
      <c r="J23" s="59"/>
      <c r="K23" s="59"/>
      <c r="L23" s="60" t="s">
        <v>38</v>
      </c>
      <c r="M23" s="60" t="s">
        <v>38</v>
      </c>
      <c r="N23" s="60" t="s">
        <v>38</v>
      </c>
      <c r="O23" s="60" t="s">
        <v>40</v>
      </c>
      <c r="P23" s="60" t="s">
        <v>39</v>
      </c>
      <c r="Q23" s="61" t="s">
        <v>68</v>
      </c>
      <c r="R23" s="61" t="s">
        <v>40</v>
      </c>
      <c r="S23" s="13" t="s">
        <v>47</v>
      </c>
      <c r="T23" s="20"/>
      <c r="U23" s="20"/>
      <c r="V23" s="20"/>
      <c r="W23" s="20"/>
      <c r="X23" s="78" t="s">
        <v>100</v>
      </c>
      <c r="Y23" s="76"/>
      <c r="Z23" s="77"/>
      <c r="AA23" s="80" t="s">
        <v>101</v>
      </c>
      <c r="AB23" s="77"/>
    </row>
    <row r="24">
      <c r="E24" s="33" t="s">
        <v>44</v>
      </c>
      <c r="F24" s="1" t="s">
        <v>62</v>
      </c>
      <c r="H24" s="34"/>
      <c r="I24" s="20"/>
      <c r="J24" s="55"/>
      <c r="K24" s="55"/>
      <c r="L24" s="70" t="s">
        <v>39</v>
      </c>
      <c r="M24" s="70" t="s">
        <v>40</v>
      </c>
      <c r="N24" s="70" t="s">
        <v>40</v>
      </c>
      <c r="O24" s="70" t="s">
        <v>38</v>
      </c>
      <c r="P24" s="70" t="s">
        <v>38</v>
      </c>
      <c r="Q24" s="70" t="s">
        <v>40</v>
      </c>
      <c r="R24" s="70" t="s">
        <v>39</v>
      </c>
      <c r="S24" s="13" t="s">
        <v>48</v>
      </c>
      <c r="T24" s="20"/>
      <c r="U24" s="20"/>
      <c r="V24" s="20"/>
      <c r="W24" s="20"/>
      <c r="X24" s="78" t="s">
        <v>47</v>
      </c>
      <c r="Y24" s="76"/>
      <c r="Z24" s="77"/>
      <c r="AA24" s="80" t="s">
        <v>102</v>
      </c>
      <c r="AB24" s="77"/>
    </row>
    <row r="25">
      <c r="E25" s="33" t="s">
        <v>63</v>
      </c>
      <c r="F25" s="1" t="s">
        <v>64</v>
      </c>
      <c r="H25" s="34"/>
      <c r="K25" s="20"/>
      <c r="L25" s="69" t="s">
        <v>58</v>
      </c>
      <c r="M25" s="69" t="s">
        <v>58</v>
      </c>
      <c r="N25" s="69" t="s">
        <v>58</v>
      </c>
      <c r="O25" s="69" t="s">
        <v>40</v>
      </c>
      <c r="P25" s="69" t="s">
        <v>58</v>
      </c>
      <c r="Q25" s="69" t="s">
        <v>39</v>
      </c>
      <c r="R25" s="69" t="s">
        <v>40</v>
      </c>
      <c r="S25" s="13" t="s">
        <v>84</v>
      </c>
      <c r="X25" s="78" t="s">
        <v>48</v>
      </c>
      <c r="Y25" s="76"/>
      <c r="Z25" s="77"/>
      <c r="AA25" s="80" t="s">
        <v>103</v>
      </c>
      <c r="AB25" s="77"/>
    </row>
    <row r="26">
      <c r="E26" s="33" t="s">
        <v>65</v>
      </c>
      <c r="F26" s="1" t="s">
        <v>66</v>
      </c>
      <c r="H26" s="34"/>
      <c r="L26" s="22"/>
      <c r="M26" s="22"/>
      <c r="N26" s="22"/>
      <c r="O26" s="22"/>
      <c r="P26" s="22"/>
      <c r="Q26" s="22"/>
      <c r="R26" s="22"/>
      <c r="X26" s="78" t="s">
        <v>104</v>
      </c>
      <c r="Y26" s="76"/>
      <c r="Z26" s="77"/>
      <c r="AA26" s="80" t="s">
        <v>105</v>
      </c>
      <c r="AB26" s="77"/>
    </row>
    <row r="27">
      <c r="E27" s="33" t="s">
        <v>46</v>
      </c>
      <c r="F27" s="1" t="s">
        <v>67</v>
      </c>
      <c r="H27" s="34"/>
      <c r="L27" s="24">
        <f t="shared" ref="L27:R27" si="9">COUNTIF(L21:L25,"D")</f>
        <v>1</v>
      </c>
      <c r="M27" s="24">
        <f t="shared" si="9"/>
        <v>1</v>
      </c>
      <c r="N27" s="24">
        <f t="shared" si="9"/>
        <v>1</v>
      </c>
      <c r="O27" s="24">
        <f t="shared" si="9"/>
        <v>1</v>
      </c>
      <c r="P27" s="24">
        <f t="shared" si="9"/>
        <v>1</v>
      </c>
      <c r="Q27" s="24">
        <f t="shared" si="9"/>
        <v>1</v>
      </c>
      <c r="R27" s="24">
        <f t="shared" si="9"/>
        <v>1</v>
      </c>
    </row>
    <row r="28">
      <c r="E28" s="35" t="s">
        <v>68</v>
      </c>
      <c r="F28" s="36" t="s">
        <v>69</v>
      </c>
      <c r="G28" s="8"/>
      <c r="H28" s="37"/>
      <c r="L28" s="27">
        <f t="shared" ref="L28:R28" si="10">COUNTIF(L21:L25,"N")</f>
        <v>1</v>
      </c>
      <c r="M28" s="27">
        <f t="shared" si="10"/>
        <v>1</v>
      </c>
      <c r="N28" s="27">
        <f t="shared" si="10"/>
        <v>1</v>
      </c>
      <c r="O28" s="27">
        <f t="shared" si="10"/>
        <v>1</v>
      </c>
      <c r="P28" s="27">
        <f t="shared" si="10"/>
        <v>1</v>
      </c>
      <c r="Q28" s="27">
        <f t="shared" si="10"/>
        <v>1</v>
      </c>
      <c r="R28" s="27">
        <f t="shared" si="10"/>
        <v>1</v>
      </c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31">
    <mergeCell ref="B1:AC3"/>
    <mergeCell ref="E16:H16"/>
    <mergeCell ref="F17:H17"/>
    <mergeCell ref="F18:H18"/>
    <mergeCell ref="X18:AB18"/>
    <mergeCell ref="X19:Z19"/>
    <mergeCell ref="AA19:AB19"/>
    <mergeCell ref="X23:Z23"/>
    <mergeCell ref="X24:Z24"/>
    <mergeCell ref="AA24:AB24"/>
    <mergeCell ref="X25:Z25"/>
    <mergeCell ref="AA25:AB25"/>
    <mergeCell ref="X26:Z26"/>
    <mergeCell ref="AA26:AB26"/>
    <mergeCell ref="X20:Z20"/>
    <mergeCell ref="AA20:AB20"/>
    <mergeCell ref="X21:Z21"/>
    <mergeCell ref="AA21:AB21"/>
    <mergeCell ref="X22:Z22"/>
    <mergeCell ref="AA22:AB22"/>
    <mergeCell ref="AA23:AB23"/>
    <mergeCell ref="F26:H26"/>
    <mergeCell ref="F27:H27"/>
    <mergeCell ref="F28:H28"/>
    <mergeCell ref="F19:H19"/>
    <mergeCell ref="F20:H20"/>
    <mergeCell ref="F21:H21"/>
    <mergeCell ref="F22:H22"/>
    <mergeCell ref="F23:H23"/>
    <mergeCell ref="F24:H24"/>
    <mergeCell ref="F25:H25"/>
  </mergeCells>
  <conditionalFormatting sqref="B9:H9 T22:W22">
    <cfRule type="cellIs" dxfId="0" priority="1" operator="equal">
      <formula>"X"</formula>
    </cfRule>
  </conditionalFormatting>
  <conditionalFormatting sqref="B9:H9 T22:W22">
    <cfRule type="cellIs" dxfId="1" priority="2" operator="equal">
      <formula>"D"</formula>
    </cfRule>
  </conditionalFormatting>
  <conditionalFormatting sqref="B9:H9 T22:W22">
    <cfRule type="cellIs" dxfId="2" priority="3" operator="equal">
      <formula>"N"</formula>
    </cfRule>
  </conditionalFormatting>
  <conditionalFormatting sqref="B9:H9 T22:W22">
    <cfRule type="cellIs" dxfId="3" priority="4" operator="equal">
      <formula>"OB"</formula>
    </cfRule>
  </conditionalFormatting>
  <conditionalFormatting sqref="B9:H9 T22:W22">
    <cfRule type="cellIs" dxfId="0" priority="5" operator="equal">
      <formula>"C"</formula>
    </cfRule>
  </conditionalFormatting>
  <conditionalFormatting sqref="B9:H9 T22:W22">
    <cfRule type="cellIs" dxfId="0" priority="6" operator="equal">
      <formula>"AL"</formula>
    </cfRule>
  </conditionalFormatting>
  <conditionalFormatting sqref="B9:H9 T22:W22">
    <cfRule type="cellIs" dxfId="4" priority="7" operator="equal">
      <formula>"UP"</formula>
    </cfRule>
  </conditionalFormatting>
  <conditionalFormatting sqref="B9:H9 T22:W22">
    <cfRule type="cellIs" dxfId="0" priority="8" operator="equal">
      <formula>"S"</formula>
    </cfRule>
  </conditionalFormatting>
  <conditionalFormatting sqref="B9:H9 T22:W22">
    <cfRule type="cellIs" dxfId="5" priority="9" operator="equal">
      <formula>"OC"</formula>
    </cfRule>
  </conditionalFormatting>
  <conditionalFormatting sqref="B9:H9 T22:W22">
    <cfRule type="cellIs" dxfId="6" priority="10" operator="equal">
      <formula>"SPV"</formula>
    </cfRule>
  </conditionalFormatting>
  <conditionalFormatting sqref="B9:H9 T22:W22">
    <cfRule type="cellIs" dxfId="7" priority="11" operator="equal">
      <formula>"INT"</formula>
    </cfRule>
  </conditionalFormatting>
  <conditionalFormatting sqref="B9:H9 T22:W22">
    <cfRule type="cellIs" dxfId="8" priority="12" operator="equal">
      <formula>"T"</formula>
    </cfRule>
  </conditionalFormatting>
  <conditionalFormatting sqref="B7:AC11 I16:AC16 E17:E28 J20:J24 K20:P25 T20:W21 Q21:R25 I22:I24 T23:W24 B33:H36 G38:J38">
    <cfRule type="cellIs" dxfId="0" priority="13" operator="equal">
      <formula>"X"</formula>
    </cfRule>
  </conditionalFormatting>
  <conditionalFormatting sqref="B7:AC11 I16:AC16 E17:E28 J20:J24 K20:P25 T20:W21 Q21:R25 I22:I24 T23:W24 B33:H36 G38:J38">
    <cfRule type="cellIs" dxfId="1" priority="14" operator="equal">
      <formula>"D"</formula>
    </cfRule>
  </conditionalFormatting>
  <conditionalFormatting sqref="B7:AC11 I16:AC16 E17:E28 J20:J24 K20:P25 T20:W21 Q21:R25 I22:I24 T23:W24 B33:H36 G38:J38">
    <cfRule type="cellIs" dxfId="2" priority="15" operator="equal">
      <formula>"N"</formula>
    </cfRule>
  </conditionalFormatting>
  <conditionalFormatting sqref="B7:AC11 I16:AC16 E17:E28 J20:J24 K20:P25 T20:W21 Q21:R25 I22:I24 T23:W24 B33:H36 G38:J38">
    <cfRule type="cellIs" dxfId="3" priority="16" operator="equal">
      <formula>"OB"</formula>
    </cfRule>
  </conditionalFormatting>
  <conditionalFormatting sqref="B7:AC11 I16:AC16 E17:E28 J20:J24 K20:P25 T20:W21 Q21:R25 I22:I24 T23:W24 B33:H36 G38:J38">
    <cfRule type="cellIs" dxfId="0" priority="17" operator="equal">
      <formula>"C"</formula>
    </cfRule>
  </conditionalFormatting>
  <conditionalFormatting sqref="B7:AC11 I16:AC16 E17:E28 J20:J24 K20:P25 T20:W21 Q21:R25 I22:I24 T23:W24 B33:H36 G38:J38">
    <cfRule type="cellIs" dxfId="0" priority="18" operator="equal">
      <formula>"AL"</formula>
    </cfRule>
  </conditionalFormatting>
  <conditionalFormatting sqref="B7:AC11 I16:AC16 E17:E28 J20:J24 K20:P25 T20:W21 Q21:R25 I22:I24 T23:W24 B33:H36 G38:J38">
    <cfRule type="cellIs" dxfId="4" priority="19" operator="equal">
      <formula>"UP"</formula>
    </cfRule>
  </conditionalFormatting>
  <conditionalFormatting sqref="B7:AC11 I16:AC16 E17:E28 J20:J24 K20:P25 T20:W21 Q21:R25 I22:I24 T23:W24 B33:H36 G38:J38">
    <cfRule type="cellIs" dxfId="0" priority="20" operator="equal">
      <formula>"S"</formula>
    </cfRule>
  </conditionalFormatting>
  <conditionalFormatting sqref="B7:AC11 I16:AC16 E17:E28 J20:J24 K20:P25 T20:W21 Q21:R25 I22:I24 T23:W24 B33:H36 G38:J38">
    <cfRule type="cellIs" dxfId="5" priority="21" operator="equal">
      <formula>"OC"</formula>
    </cfRule>
  </conditionalFormatting>
  <conditionalFormatting sqref="B7:AC11 I16:AC16 E17:E28 J20:J24 K20:P25 T20:W21 Q21:R25 I22:I24 T23:W24 B33:H36 G38:J38">
    <cfRule type="cellIs" dxfId="6" priority="22" operator="equal">
      <formula>"SPV"</formula>
    </cfRule>
  </conditionalFormatting>
  <conditionalFormatting sqref="B7:AC11 I16:AC16 E17:E28 J20:J24 K20:P25 T20:W21 Q21:R25 I22:I24 T23:W24 B33:H36 G38:J38">
    <cfRule type="cellIs" dxfId="7" priority="23" operator="equal">
      <formula>"INT"</formula>
    </cfRule>
  </conditionalFormatting>
  <conditionalFormatting sqref="B7:AC11 I16:AC16 J20:K24 L20:P25 T20:W21 Q21:R25 T23:W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106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24</v>
      </c>
      <c r="C5" s="13" t="s">
        <v>25</v>
      </c>
      <c r="D5" s="13" t="s">
        <v>26</v>
      </c>
      <c r="E5" s="13" t="s">
        <v>27</v>
      </c>
      <c r="F5" s="13" t="s">
        <v>28</v>
      </c>
      <c r="G5" s="13" t="s">
        <v>29</v>
      </c>
      <c r="H5" s="13" t="s">
        <v>30</v>
      </c>
      <c r="I5" s="13" t="s">
        <v>31</v>
      </c>
      <c r="J5" s="13" t="s">
        <v>32</v>
      </c>
      <c r="K5" s="13" t="s">
        <v>33</v>
      </c>
      <c r="L5" s="13" t="s">
        <v>34</v>
      </c>
      <c r="M5" s="13" t="s">
        <v>35</v>
      </c>
      <c r="N5" s="13" t="s">
        <v>36</v>
      </c>
      <c r="O5" s="13" t="s">
        <v>37</v>
      </c>
      <c r="P5" s="13" t="s">
        <v>70</v>
      </c>
      <c r="Q5" s="13" t="s">
        <v>71</v>
      </c>
      <c r="R5" s="13" t="s">
        <v>75</v>
      </c>
      <c r="S5" s="13" t="s">
        <v>10</v>
      </c>
      <c r="T5" s="13" t="s">
        <v>11</v>
      </c>
      <c r="U5" s="13" t="s">
        <v>12</v>
      </c>
      <c r="V5" s="13" t="s">
        <v>13</v>
      </c>
      <c r="W5" s="13" t="s">
        <v>14</v>
      </c>
      <c r="X5" s="13" t="s">
        <v>15</v>
      </c>
      <c r="Y5" s="13" t="s">
        <v>16</v>
      </c>
      <c r="Z5" s="13" t="s">
        <v>17</v>
      </c>
      <c r="AA5" s="13" t="s">
        <v>18</v>
      </c>
      <c r="AB5" s="13" t="s">
        <v>19</v>
      </c>
      <c r="AC5" s="13" t="s">
        <v>20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69" t="s">
        <v>40</v>
      </c>
      <c r="C7" s="69" t="s">
        <v>38</v>
      </c>
      <c r="D7" s="69" t="s">
        <v>38</v>
      </c>
      <c r="E7" s="69" t="s">
        <v>38</v>
      </c>
      <c r="F7" s="69" t="s">
        <v>40</v>
      </c>
      <c r="G7" s="69" t="s">
        <v>40</v>
      </c>
      <c r="H7" s="69" t="s">
        <v>39</v>
      </c>
      <c r="I7" s="60" t="s">
        <v>40</v>
      </c>
      <c r="J7" s="60" t="s">
        <v>41</v>
      </c>
      <c r="K7" s="60" t="s">
        <v>41</v>
      </c>
      <c r="L7" s="60" t="s">
        <v>41</v>
      </c>
      <c r="M7" s="60" t="s">
        <v>41</v>
      </c>
      <c r="N7" s="61" t="s">
        <v>68</v>
      </c>
      <c r="O7" s="61" t="s">
        <v>68</v>
      </c>
      <c r="P7" s="70" t="s">
        <v>41</v>
      </c>
      <c r="Q7" s="70" t="s">
        <v>40</v>
      </c>
      <c r="R7" s="70" t="s">
        <v>39</v>
      </c>
      <c r="S7" s="70" t="s">
        <v>39</v>
      </c>
      <c r="T7" s="70" t="s">
        <v>39</v>
      </c>
      <c r="U7" s="70" t="s">
        <v>40</v>
      </c>
      <c r="V7" s="70" t="s">
        <v>38</v>
      </c>
      <c r="W7" s="71" t="s">
        <v>38</v>
      </c>
      <c r="X7" s="71" t="s">
        <v>40</v>
      </c>
      <c r="Y7" s="71" t="s">
        <v>40</v>
      </c>
      <c r="Z7" s="71" t="s">
        <v>40</v>
      </c>
      <c r="AA7" s="71" t="s">
        <v>39</v>
      </c>
      <c r="AB7" s="71" t="s">
        <v>39</v>
      </c>
      <c r="AC7" s="71" t="s">
        <v>39</v>
      </c>
      <c r="AG7" s="49">
        <f t="shared" ref="AG7:AG11" si="1">COUNTIF(B7:AC7,"D")</f>
        <v>5</v>
      </c>
      <c r="AH7" s="49">
        <f t="shared" ref="AH7:AH11" si="2">COUNTIF(B7:AC7,"N")</f>
        <v>7</v>
      </c>
      <c r="AI7" s="49">
        <f t="shared" ref="AI7:AI11" si="3">COUNTIF(B7:AC7,"X")</f>
        <v>9</v>
      </c>
      <c r="AJ7" s="49">
        <f t="shared" ref="AJ7:AJ11" si="4">COUNTIF(B7:AC7,"INT")</f>
        <v>5</v>
      </c>
      <c r="AK7" s="49">
        <f t="shared" ref="AK7:AK11" si="5">SUM(AG7+AH7+AJ7)</f>
        <v>17</v>
      </c>
      <c r="AL7" s="49">
        <f t="shared" ref="AL7:AL11" si="6">((AG7*12)+(AH7*12)+(AJ7*8))/4</f>
        <v>46</v>
      </c>
    </row>
    <row r="8">
      <c r="A8" s="13" t="s">
        <v>45</v>
      </c>
      <c r="B8" s="69" t="s">
        <v>38</v>
      </c>
      <c r="C8" s="69" t="s">
        <v>40</v>
      </c>
      <c r="D8" s="69" t="s">
        <v>40</v>
      </c>
      <c r="E8" s="69" t="s">
        <v>40</v>
      </c>
      <c r="F8" s="69" t="s">
        <v>65</v>
      </c>
      <c r="G8" s="69" t="s">
        <v>65</v>
      </c>
      <c r="H8" s="69" t="s">
        <v>40</v>
      </c>
      <c r="I8" s="69" t="s">
        <v>65</v>
      </c>
      <c r="J8" s="69" t="s">
        <v>38</v>
      </c>
      <c r="K8" s="69" t="s">
        <v>38</v>
      </c>
      <c r="L8" s="69" t="s">
        <v>40</v>
      </c>
      <c r="M8" s="69" t="s">
        <v>40</v>
      </c>
      <c r="N8" s="69" t="s">
        <v>38</v>
      </c>
      <c r="O8" s="69" t="s">
        <v>38</v>
      </c>
      <c r="P8" s="60" t="s">
        <v>44</v>
      </c>
      <c r="Q8" s="60" t="s">
        <v>44</v>
      </c>
      <c r="R8" s="60" t="s">
        <v>44</v>
      </c>
      <c r="S8" s="60" t="s">
        <v>44</v>
      </c>
      <c r="T8" s="60" t="s">
        <v>44</v>
      </c>
      <c r="U8" s="61" t="s">
        <v>40</v>
      </c>
      <c r="V8" s="61" t="s">
        <v>40</v>
      </c>
      <c r="W8" s="70" t="s">
        <v>40</v>
      </c>
      <c r="X8" s="70" t="s">
        <v>41</v>
      </c>
      <c r="Y8" s="70" t="s">
        <v>41</v>
      </c>
      <c r="Z8" s="70" t="s">
        <v>41</v>
      </c>
      <c r="AA8" s="70" t="s">
        <v>41</v>
      </c>
      <c r="AB8" s="70" t="s">
        <v>68</v>
      </c>
      <c r="AC8" s="70" t="s">
        <v>68</v>
      </c>
      <c r="AG8" s="49">
        <f t="shared" si="1"/>
        <v>5</v>
      </c>
      <c r="AH8" s="49">
        <f t="shared" si="2"/>
        <v>0</v>
      </c>
      <c r="AI8" s="49">
        <f t="shared" si="3"/>
        <v>9</v>
      </c>
      <c r="AJ8" s="49">
        <f t="shared" si="4"/>
        <v>4</v>
      </c>
      <c r="AK8" s="49">
        <f t="shared" si="5"/>
        <v>9</v>
      </c>
      <c r="AL8" s="49">
        <f t="shared" si="6"/>
        <v>23</v>
      </c>
    </row>
    <row r="9">
      <c r="A9" s="13" t="s">
        <v>47</v>
      </c>
      <c r="B9" s="60" t="s">
        <v>41</v>
      </c>
      <c r="C9" s="60" t="s">
        <v>39</v>
      </c>
      <c r="D9" s="60" t="s">
        <v>40</v>
      </c>
      <c r="E9" s="60" t="s">
        <v>39</v>
      </c>
      <c r="F9" s="60" t="s">
        <v>39</v>
      </c>
      <c r="G9" s="61" t="s">
        <v>39</v>
      </c>
      <c r="H9" s="61" t="s">
        <v>40</v>
      </c>
      <c r="I9" s="70" t="s">
        <v>39</v>
      </c>
      <c r="J9" s="70" t="s">
        <v>39</v>
      </c>
      <c r="K9" s="70" t="s">
        <v>40</v>
      </c>
      <c r="L9" s="70" t="s">
        <v>38</v>
      </c>
      <c r="M9" s="70" t="s">
        <v>38</v>
      </c>
      <c r="N9" s="70" t="s">
        <v>40</v>
      </c>
      <c r="O9" s="70" t="s">
        <v>40</v>
      </c>
      <c r="P9" s="70" t="s">
        <v>39</v>
      </c>
      <c r="Q9" s="70" t="s">
        <v>39</v>
      </c>
      <c r="R9" s="70" t="s">
        <v>40</v>
      </c>
      <c r="S9" s="70" t="s">
        <v>38</v>
      </c>
      <c r="T9" s="70" t="s">
        <v>38</v>
      </c>
      <c r="U9" s="70" t="s">
        <v>38</v>
      </c>
      <c r="V9" s="70" t="s">
        <v>40</v>
      </c>
      <c r="W9" s="60" t="s">
        <v>39</v>
      </c>
      <c r="X9" s="60" t="s">
        <v>39</v>
      </c>
      <c r="Y9" s="60" t="s">
        <v>40</v>
      </c>
      <c r="Z9" s="60" t="s">
        <v>40</v>
      </c>
      <c r="AA9" s="60" t="s">
        <v>38</v>
      </c>
      <c r="AB9" s="61" t="s">
        <v>38</v>
      </c>
      <c r="AC9" s="61" t="s">
        <v>40</v>
      </c>
      <c r="AG9" s="49">
        <f t="shared" si="1"/>
        <v>7</v>
      </c>
      <c r="AH9" s="49">
        <f t="shared" si="2"/>
        <v>10</v>
      </c>
      <c r="AI9" s="49">
        <f t="shared" si="3"/>
        <v>10</v>
      </c>
      <c r="AJ9" s="49">
        <f t="shared" si="4"/>
        <v>1</v>
      </c>
      <c r="AK9" s="49">
        <f t="shared" si="5"/>
        <v>18</v>
      </c>
      <c r="AL9" s="49">
        <f t="shared" si="6"/>
        <v>53</v>
      </c>
    </row>
    <row r="10">
      <c r="A10" s="13" t="s">
        <v>48</v>
      </c>
      <c r="B10" s="69" t="s">
        <v>39</v>
      </c>
      <c r="C10" s="69" t="s">
        <v>40</v>
      </c>
      <c r="D10" s="69" t="s">
        <v>39</v>
      </c>
      <c r="E10" s="69" t="s">
        <v>40</v>
      </c>
      <c r="F10" s="69" t="s">
        <v>38</v>
      </c>
      <c r="G10" s="69" t="s">
        <v>60</v>
      </c>
      <c r="H10" s="69" t="s">
        <v>38</v>
      </c>
      <c r="I10" s="69" t="s">
        <v>38</v>
      </c>
      <c r="J10" s="69" t="s">
        <v>40</v>
      </c>
      <c r="K10" s="69" t="s">
        <v>39</v>
      </c>
      <c r="L10" s="69" t="s">
        <v>40</v>
      </c>
      <c r="M10" s="69" t="s">
        <v>40</v>
      </c>
      <c r="N10" s="69" t="s">
        <v>39</v>
      </c>
      <c r="O10" s="69" t="s">
        <v>39</v>
      </c>
      <c r="P10" s="69" t="s">
        <v>40</v>
      </c>
      <c r="Q10" s="69" t="s">
        <v>41</v>
      </c>
      <c r="R10" s="69" t="s">
        <v>41</v>
      </c>
      <c r="S10" s="69" t="s">
        <v>41</v>
      </c>
      <c r="T10" s="69" t="s">
        <v>41</v>
      </c>
      <c r="U10" s="69" t="s">
        <v>68</v>
      </c>
      <c r="V10" s="69" t="s">
        <v>68</v>
      </c>
      <c r="W10" s="70" t="s">
        <v>41</v>
      </c>
      <c r="X10" s="70" t="s">
        <v>40</v>
      </c>
      <c r="Y10" s="70" t="s">
        <v>39</v>
      </c>
      <c r="Z10" s="70" t="s">
        <v>39</v>
      </c>
      <c r="AA10" s="70" t="s">
        <v>40</v>
      </c>
      <c r="AB10" s="70" t="s">
        <v>40</v>
      </c>
      <c r="AC10" s="70" t="s">
        <v>38</v>
      </c>
      <c r="AG10" s="49">
        <f t="shared" si="1"/>
        <v>4</v>
      </c>
      <c r="AH10" s="49">
        <f t="shared" si="2"/>
        <v>7</v>
      </c>
      <c r="AI10" s="49">
        <f t="shared" si="3"/>
        <v>9</v>
      </c>
      <c r="AJ10" s="49">
        <f t="shared" si="4"/>
        <v>5</v>
      </c>
      <c r="AK10" s="49">
        <f t="shared" si="5"/>
        <v>16</v>
      </c>
      <c r="AL10" s="49">
        <f t="shared" si="6"/>
        <v>43</v>
      </c>
    </row>
    <row r="11">
      <c r="A11" s="13" t="s">
        <v>84</v>
      </c>
      <c r="B11" s="60" t="s">
        <v>40</v>
      </c>
      <c r="C11" s="60" t="s">
        <v>41</v>
      </c>
      <c r="D11" s="60" t="s">
        <v>41</v>
      </c>
      <c r="E11" s="60" t="s">
        <v>41</v>
      </c>
      <c r="F11" s="60" t="s">
        <v>41</v>
      </c>
      <c r="G11" s="61" t="s">
        <v>38</v>
      </c>
      <c r="H11" s="61" t="s">
        <v>68</v>
      </c>
      <c r="I11" s="69" t="s">
        <v>41</v>
      </c>
      <c r="J11" s="69" t="s">
        <v>40</v>
      </c>
      <c r="K11" s="69" t="s">
        <v>40</v>
      </c>
      <c r="L11" s="69" t="s">
        <v>39</v>
      </c>
      <c r="M11" s="69" t="s">
        <v>39</v>
      </c>
      <c r="N11" s="69" t="s">
        <v>40</v>
      </c>
      <c r="O11" s="69" t="s">
        <v>40</v>
      </c>
      <c r="P11" s="70" t="s">
        <v>38</v>
      </c>
      <c r="Q11" s="70" t="s">
        <v>38</v>
      </c>
      <c r="R11" s="70" t="s">
        <v>38</v>
      </c>
      <c r="S11" s="70" t="s">
        <v>40</v>
      </c>
      <c r="T11" s="70" t="s">
        <v>40</v>
      </c>
      <c r="U11" s="70" t="s">
        <v>39</v>
      </c>
      <c r="V11" s="70" t="s">
        <v>39</v>
      </c>
      <c r="W11" s="69" t="s">
        <v>40</v>
      </c>
      <c r="X11" s="69" t="s">
        <v>38</v>
      </c>
      <c r="Y11" s="69" t="s">
        <v>38</v>
      </c>
      <c r="Z11" s="69" t="s">
        <v>38</v>
      </c>
      <c r="AA11" s="69"/>
      <c r="AB11" s="69"/>
      <c r="AC11" s="69"/>
      <c r="AG11" s="49">
        <f t="shared" si="1"/>
        <v>7</v>
      </c>
      <c r="AH11" s="49">
        <f t="shared" si="2"/>
        <v>4</v>
      </c>
      <c r="AI11" s="49">
        <f t="shared" si="3"/>
        <v>8</v>
      </c>
      <c r="AJ11" s="49">
        <f t="shared" si="4"/>
        <v>5</v>
      </c>
      <c r="AK11" s="49">
        <f t="shared" si="5"/>
        <v>16</v>
      </c>
      <c r="AL11" s="49">
        <f t="shared" si="6"/>
        <v>43</v>
      </c>
    </row>
    <row r="12">
      <c r="A12" s="1" t="s">
        <v>73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1" t="s">
        <v>44</v>
      </c>
      <c r="AB12" s="21" t="s">
        <v>44</v>
      </c>
      <c r="AC12" s="21" t="s">
        <v>44</v>
      </c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1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32"/>
      <c r="J16" s="28"/>
      <c r="K16" s="28"/>
      <c r="L16" s="62"/>
      <c r="M16" s="28"/>
      <c r="N16" s="28"/>
      <c r="O16" s="28"/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11"/>
      <c r="K17" s="9" t="s">
        <v>2</v>
      </c>
      <c r="L17" s="9" t="s">
        <v>3</v>
      </c>
      <c r="M17" s="9" t="s">
        <v>4</v>
      </c>
      <c r="N17" s="9" t="s">
        <v>5</v>
      </c>
      <c r="O17" s="9" t="s">
        <v>6</v>
      </c>
      <c r="P17" s="9" t="s">
        <v>7</v>
      </c>
      <c r="Q17" s="9" t="s">
        <v>8</v>
      </c>
      <c r="R17" s="11"/>
      <c r="S17" s="11"/>
      <c r="T17" s="11"/>
      <c r="U17" s="11"/>
      <c r="V17" s="11"/>
      <c r="W17" s="11"/>
      <c r="AA17" s="1" t="s">
        <v>107</v>
      </c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/>
      <c r="K18" s="13" t="s">
        <v>17</v>
      </c>
      <c r="L18" s="13" t="s">
        <v>18</v>
      </c>
      <c r="M18" s="13" t="s">
        <v>19</v>
      </c>
      <c r="N18" s="13" t="s">
        <v>20</v>
      </c>
      <c r="O18" s="13" t="s">
        <v>21</v>
      </c>
      <c r="P18" s="13" t="s">
        <v>22</v>
      </c>
      <c r="Q18" s="13" t="s">
        <v>23</v>
      </c>
      <c r="R18" s="13"/>
      <c r="S18" s="13"/>
      <c r="T18" s="13"/>
      <c r="U18" s="13"/>
      <c r="V18" s="13"/>
      <c r="W18" s="13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K19" s="68"/>
      <c r="L19" s="68"/>
      <c r="M19" s="68"/>
      <c r="N19" s="68"/>
      <c r="O19" s="68"/>
      <c r="P19" s="68"/>
      <c r="Q19" s="68"/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K20" s="71" t="s">
        <v>38</v>
      </c>
      <c r="L20" s="71" t="s">
        <v>38</v>
      </c>
      <c r="M20" s="71" t="s">
        <v>40</v>
      </c>
      <c r="N20" s="71" t="s">
        <v>40</v>
      </c>
      <c r="O20" s="71" t="s">
        <v>39</v>
      </c>
      <c r="P20" s="71" t="s">
        <v>39</v>
      </c>
      <c r="Q20" s="71" t="s">
        <v>40</v>
      </c>
      <c r="R20" s="19" t="s">
        <v>43</v>
      </c>
      <c r="T20" s="20"/>
      <c r="U20" s="20"/>
      <c r="V20" s="20"/>
      <c r="W20" s="20"/>
      <c r="X20" s="19"/>
    </row>
    <row r="21">
      <c r="E21" s="33" t="s">
        <v>40</v>
      </c>
      <c r="F21" s="1" t="s">
        <v>57</v>
      </c>
      <c r="H21" s="34"/>
      <c r="J21" s="59"/>
      <c r="K21" s="70" t="s">
        <v>40</v>
      </c>
      <c r="L21" s="70" t="s">
        <v>40</v>
      </c>
      <c r="M21" s="70" t="s">
        <v>39</v>
      </c>
      <c r="N21" s="70" t="s">
        <v>39</v>
      </c>
      <c r="O21" s="70" t="s">
        <v>40</v>
      </c>
      <c r="P21" s="70" t="s">
        <v>40</v>
      </c>
      <c r="Q21" s="70" t="s">
        <v>60</v>
      </c>
      <c r="R21" s="13" t="s">
        <v>45</v>
      </c>
      <c r="T21" s="20"/>
      <c r="U21" s="20"/>
      <c r="V21" s="20"/>
      <c r="W21" s="20"/>
      <c r="X21" s="13"/>
    </row>
    <row r="22">
      <c r="E22" s="33" t="s">
        <v>58</v>
      </c>
      <c r="F22" s="1" t="s">
        <v>59</v>
      </c>
      <c r="H22" s="34"/>
      <c r="I22" s="72"/>
      <c r="J22" s="73"/>
      <c r="K22" s="60" t="s">
        <v>41</v>
      </c>
      <c r="L22" s="60" t="s">
        <v>41</v>
      </c>
      <c r="M22" s="60" t="s">
        <v>41</v>
      </c>
      <c r="N22" s="60" t="s">
        <v>41</v>
      </c>
      <c r="O22" s="60" t="s">
        <v>41</v>
      </c>
      <c r="P22" s="61" t="s">
        <v>68</v>
      </c>
      <c r="Q22" s="61" t="s">
        <v>38</v>
      </c>
      <c r="R22" s="13" t="s">
        <v>47</v>
      </c>
      <c r="T22" s="20"/>
      <c r="U22" s="20"/>
      <c r="V22" s="20"/>
      <c r="W22" s="20"/>
      <c r="X22" s="13"/>
    </row>
    <row r="23">
      <c r="E23" s="33" t="s">
        <v>60</v>
      </c>
      <c r="F23" s="1" t="s">
        <v>61</v>
      </c>
      <c r="H23" s="34"/>
      <c r="I23" s="20"/>
      <c r="J23" s="59"/>
      <c r="K23" s="70" t="s">
        <v>39</v>
      </c>
      <c r="L23" s="70" t="s">
        <v>39</v>
      </c>
      <c r="M23" s="70" t="s">
        <v>40</v>
      </c>
      <c r="N23" s="70" t="s">
        <v>40</v>
      </c>
      <c r="O23" s="70" t="s">
        <v>38</v>
      </c>
      <c r="P23" s="70" t="s">
        <v>38</v>
      </c>
      <c r="Q23" s="70" t="s">
        <v>40</v>
      </c>
      <c r="R23" s="13" t="s">
        <v>48</v>
      </c>
      <c r="T23" s="20"/>
      <c r="U23" s="20"/>
      <c r="V23" s="20"/>
      <c r="W23" s="20"/>
      <c r="X23" s="13"/>
    </row>
    <row r="24">
      <c r="E24" s="33" t="s">
        <v>44</v>
      </c>
      <c r="F24" s="1" t="s">
        <v>62</v>
      </c>
      <c r="H24" s="34"/>
      <c r="I24" s="20"/>
      <c r="J24" s="55"/>
      <c r="K24" s="69" t="s">
        <v>40</v>
      </c>
      <c r="L24" s="69" t="s">
        <v>40</v>
      </c>
      <c r="M24" s="69" t="s">
        <v>38</v>
      </c>
      <c r="N24" s="69" t="s">
        <v>38</v>
      </c>
      <c r="O24" s="69" t="s">
        <v>40</v>
      </c>
      <c r="P24" s="69" t="s">
        <v>40</v>
      </c>
      <c r="Q24" s="69" t="s">
        <v>39</v>
      </c>
      <c r="R24" s="13" t="s">
        <v>84</v>
      </c>
      <c r="T24" s="20"/>
      <c r="U24" s="20"/>
      <c r="V24" s="20"/>
      <c r="W24" s="20"/>
      <c r="X24" s="13"/>
    </row>
    <row r="25">
      <c r="E25" s="33" t="s">
        <v>63</v>
      </c>
      <c r="F25" s="1" t="s">
        <v>64</v>
      </c>
      <c r="H25" s="34"/>
      <c r="K25" s="22"/>
      <c r="L25" s="22"/>
      <c r="M25" s="22"/>
      <c r="N25" s="22"/>
      <c r="O25" s="22"/>
      <c r="P25" s="22"/>
      <c r="Q25" s="22"/>
    </row>
    <row r="26">
      <c r="E26" s="33" t="s">
        <v>65</v>
      </c>
      <c r="F26" s="1" t="s">
        <v>66</v>
      </c>
      <c r="H26" s="34"/>
      <c r="K26" s="25"/>
      <c r="L26" s="25"/>
      <c r="M26" s="25"/>
      <c r="N26" s="25"/>
      <c r="O26" s="25"/>
      <c r="P26" s="25"/>
      <c r="Q26" s="25"/>
    </row>
    <row r="27">
      <c r="E27" s="33" t="s">
        <v>46</v>
      </c>
      <c r="F27" s="1" t="s">
        <v>67</v>
      </c>
      <c r="H27" s="34"/>
      <c r="K27" s="25"/>
      <c r="L27" s="25"/>
      <c r="M27" s="25"/>
      <c r="N27" s="25"/>
      <c r="O27" s="25"/>
      <c r="P27" s="25"/>
      <c r="Q27" s="25"/>
    </row>
    <row r="28">
      <c r="E28" s="35" t="s">
        <v>68</v>
      </c>
      <c r="F28" s="36" t="s">
        <v>69</v>
      </c>
      <c r="G28" s="8"/>
      <c r="H28" s="37"/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14">
    <mergeCell ref="F22:H22"/>
    <mergeCell ref="F23:H23"/>
    <mergeCell ref="F24:H24"/>
    <mergeCell ref="F25:H25"/>
    <mergeCell ref="F26:H26"/>
    <mergeCell ref="F27:H27"/>
    <mergeCell ref="F28:H28"/>
    <mergeCell ref="B1:AC3"/>
    <mergeCell ref="E16:H16"/>
    <mergeCell ref="F17:H17"/>
    <mergeCell ref="F18:H18"/>
    <mergeCell ref="F19:H19"/>
    <mergeCell ref="F20:H20"/>
    <mergeCell ref="F21:H21"/>
  </mergeCells>
  <conditionalFormatting sqref="B9:H9 T22:W22">
    <cfRule type="cellIs" dxfId="0" priority="1" operator="equal">
      <formula>"X"</formula>
    </cfRule>
  </conditionalFormatting>
  <conditionalFormatting sqref="B9:H9 T22:W22">
    <cfRule type="cellIs" dxfId="1" priority="2" operator="equal">
      <formula>"D"</formula>
    </cfRule>
  </conditionalFormatting>
  <conditionalFormatting sqref="B9:H9 T22:W22">
    <cfRule type="cellIs" dxfId="2" priority="3" operator="equal">
      <formula>"N"</formula>
    </cfRule>
  </conditionalFormatting>
  <conditionalFormatting sqref="B9:H9 T22:W22">
    <cfRule type="cellIs" dxfId="3" priority="4" operator="equal">
      <formula>"OB"</formula>
    </cfRule>
  </conditionalFormatting>
  <conditionalFormatting sqref="B9:H9 T22:W22">
    <cfRule type="cellIs" dxfId="0" priority="5" operator="equal">
      <formula>"C"</formula>
    </cfRule>
  </conditionalFormatting>
  <conditionalFormatting sqref="B9:H9 T22:W22">
    <cfRule type="cellIs" dxfId="0" priority="6" operator="equal">
      <formula>"AL"</formula>
    </cfRule>
  </conditionalFormatting>
  <conditionalFormatting sqref="B9:H9 T22:W22">
    <cfRule type="cellIs" dxfId="4" priority="7" operator="equal">
      <formula>"UP"</formula>
    </cfRule>
  </conditionalFormatting>
  <conditionalFormatting sqref="B9:H9 T22:W22">
    <cfRule type="cellIs" dxfId="0" priority="8" operator="equal">
      <formula>"S"</formula>
    </cfRule>
  </conditionalFormatting>
  <conditionalFormatting sqref="B9:H9 T22:W22">
    <cfRule type="cellIs" dxfId="5" priority="9" operator="equal">
      <formula>"OC"</formula>
    </cfRule>
  </conditionalFormatting>
  <conditionalFormatting sqref="B9:H9 T22:W22">
    <cfRule type="cellIs" dxfId="6" priority="10" operator="equal">
      <formula>"SPV"</formula>
    </cfRule>
  </conditionalFormatting>
  <conditionalFormatting sqref="B9:H9 T22:W22">
    <cfRule type="cellIs" dxfId="7" priority="11" operator="equal">
      <formula>"INT"</formula>
    </cfRule>
  </conditionalFormatting>
  <conditionalFormatting sqref="B9:H9 T22:W22">
    <cfRule type="cellIs" dxfId="8" priority="12" operator="equal">
      <formula>"T"</formula>
    </cfRule>
  </conditionalFormatting>
  <conditionalFormatting sqref="B7:AC11 E17:E28 J20:J24 K20:Q25 T20:W21 I22:I24 T23:W24 B33:H36 G38:J38">
    <cfRule type="cellIs" dxfId="0" priority="13" operator="equal">
      <formula>"X"</formula>
    </cfRule>
  </conditionalFormatting>
  <conditionalFormatting sqref="B7:AC11 E17:E28 J20:J24 K20:Q25 T20:W21 I22:I24 T23:W24 B33:H36 G38:J38">
    <cfRule type="cellIs" dxfId="1" priority="14" operator="equal">
      <formula>"D"</formula>
    </cfRule>
  </conditionalFormatting>
  <conditionalFormatting sqref="B7:AC11 E17:E28 J20:J24 K20:Q25 T20:W21 I22:I24 T23:W24 B33:H36 G38:J38">
    <cfRule type="cellIs" dxfId="2" priority="15" operator="equal">
      <formula>"N"</formula>
    </cfRule>
  </conditionalFormatting>
  <conditionalFormatting sqref="B7:AC11 E17:E28 J20:J24 K20:Q25 T20:W21 I22:I24 T23:W24 B33:H36 G38:J38">
    <cfRule type="cellIs" dxfId="3" priority="16" operator="equal">
      <formula>"OB"</formula>
    </cfRule>
  </conditionalFormatting>
  <conditionalFormatting sqref="B7:AC11 E17:E28 J20:J24 K20:Q25 T20:W21 I22:I24 T23:W24 B33:H36 G38:J38">
    <cfRule type="cellIs" dxfId="0" priority="17" operator="equal">
      <formula>"C"</formula>
    </cfRule>
  </conditionalFormatting>
  <conditionalFormatting sqref="B7:AC11 E17:E28 J20:J24 K20:Q25 T20:W21 I22:I24 T23:W24 B33:H36 G38:J38">
    <cfRule type="cellIs" dxfId="0" priority="18" operator="equal">
      <formula>"AL"</formula>
    </cfRule>
  </conditionalFormatting>
  <conditionalFormatting sqref="B7:AC11 E17:E28 J20:J24 K20:Q25 T20:W21 I22:I24 T23:W24 B33:H36 G38:J38">
    <cfRule type="cellIs" dxfId="4" priority="19" operator="equal">
      <formula>"UP"</formula>
    </cfRule>
  </conditionalFormatting>
  <conditionalFormatting sqref="B7:AC11 E17:E28 J20:J24 K20:Q25 T20:W21 I22:I24 T23:W24 B33:H36 G38:J38">
    <cfRule type="cellIs" dxfId="0" priority="20" operator="equal">
      <formula>"S"</formula>
    </cfRule>
  </conditionalFormatting>
  <conditionalFormatting sqref="B7:AC11 E17:E28 J20:J24 K20:Q25 T20:W21 I22:I24 T23:W24 B33:H36 G38:J38">
    <cfRule type="cellIs" dxfId="5" priority="21" operator="equal">
      <formula>"OC"</formula>
    </cfRule>
  </conditionalFormatting>
  <conditionalFormatting sqref="B7:AC11 E17:E28 J20:J24 K20:Q25 T20:W21 I22:I24 T23:W24 B33:H36 G38:J38">
    <cfRule type="cellIs" dxfId="6" priority="22" operator="equal">
      <formula>"SPV"</formula>
    </cfRule>
  </conditionalFormatting>
  <conditionalFormatting sqref="B7:AC11 E17:E28 J20:J24 K20:Q25 T20:W21 I22:I24 T23:W24 B33:H36 G38:J38">
    <cfRule type="cellIs" dxfId="7" priority="23" operator="equal">
      <formula>"INT"</formula>
    </cfRule>
  </conditionalFormatting>
  <conditionalFormatting sqref="B7:AC11 J20:Q24 T20:W21 T23:W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106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24</v>
      </c>
      <c r="C5" s="13" t="s">
        <v>25</v>
      </c>
      <c r="D5" s="13" t="s">
        <v>26</v>
      </c>
      <c r="E5" s="13" t="s">
        <v>27</v>
      </c>
      <c r="F5" s="13" t="s">
        <v>28</v>
      </c>
      <c r="G5" s="13" t="s">
        <v>29</v>
      </c>
      <c r="H5" s="13" t="s">
        <v>30</v>
      </c>
      <c r="I5" s="13" t="s">
        <v>31</v>
      </c>
      <c r="J5" s="13" t="s">
        <v>32</v>
      </c>
      <c r="K5" s="13" t="s">
        <v>33</v>
      </c>
      <c r="L5" s="13" t="s">
        <v>34</v>
      </c>
      <c r="M5" s="13" t="s">
        <v>35</v>
      </c>
      <c r="N5" s="13" t="s">
        <v>36</v>
      </c>
      <c r="O5" s="13" t="s">
        <v>37</v>
      </c>
      <c r="P5" s="13" t="s">
        <v>70</v>
      </c>
      <c r="Q5" s="13" t="s">
        <v>71</v>
      </c>
      <c r="R5" s="13" t="s">
        <v>75</v>
      </c>
      <c r="S5" s="13" t="s">
        <v>10</v>
      </c>
      <c r="T5" s="13" t="s">
        <v>11</v>
      </c>
      <c r="U5" s="13" t="s">
        <v>12</v>
      </c>
      <c r="V5" s="13" t="s">
        <v>13</v>
      </c>
      <c r="W5" s="13" t="s">
        <v>14</v>
      </c>
      <c r="X5" s="13" t="s">
        <v>15</v>
      </c>
      <c r="Y5" s="13" t="s">
        <v>16</v>
      </c>
      <c r="Z5" s="13" t="s">
        <v>17</v>
      </c>
      <c r="AA5" s="13" t="s">
        <v>18</v>
      </c>
      <c r="AB5" s="13" t="s">
        <v>19</v>
      </c>
      <c r="AC5" s="13" t="s">
        <v>20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69" t="s">
        <v>40</v>
      </c>
      <c r="C7" s="69" t="s">
        <v>38</v>
      </c>
      <c r="D7" s="69" t="s">
        <v>38</v>
      </c>
      <c r="E7" s="69" t="s">
        <v>38</v>
      </c>
      <c r="F7" s="69" t="s">
        <v>40</v>
      </c>
      <c r="G7" s="69" t="s">
        <v>40</v>
      </c>
      <c r="H7" s="69" t="s">
        <v>39</v>
      </c>
      <c r="I7" s="60" t="s">
        <v>40</v>
      </c>
      <c r="J7" s="60" t="s">
        <v>41</v>
      </c>
      <c r="K7" s="60" t="s">
        <v>41</v>
      </c>
      <c r="L7" s="60" t="s">
        <v>41</v>
      </c>
      <c r="M7" s="60" t="s">
        <v>41</v>
      </c>
      <c r="N7" s="61" t="s">
        <v>68</v>
      </c>
      <c r="O7" s="61" t="s">
        <v>68</v>
      </c>
      <c r="P7" s="70" t="s">
        <v>40</v>
      </c>
      <c r="Q7" s="70" t="s">
        <v>40</v>
      </c>
      <c r="R7" s="70" t="s">
        <v>39</v>
      </c>
      <c r="S7" s="70" t="s">
        <v>39</v>
      </c>
      <c r="T7" s="70" t="s">
        <v>40</v>
      </c>
      <c r="U7" s="70" t="s">
        <v>38</v>
      </c>
      <c r="V7" s="70" t="s">
        <v>38</v>
      </c>
      <c r="W7" s="71" t="s">
        <v>40</v>
      </c>
      <c r="X7" s="71" t="s">
        <v>40</v>
      </c>
      <c r="Y7" s="71" t="s">
        <v>39</v>
      </c>
      <c r="Z7" s="71" t="s">
        <v>39</v>
      </c>
      <c r="AA7" s="71" t="s">
        <v>40</v>
      </c>
      <c r="AB7" s="71" t="s">
        <v>38</v>
      </c>
      <c r="AC7" s="71" t="s">
        <v>38</v>
      </c>
      <c r="AG7" s="49">
        <f t="shared" ref="AG7:AG11" si="1">COUNTIF(B7:AC7,"D")</f>
        <v>7</v>
      </c>
      <c r="AH7" s="49">
        <f t="shared" ref="AH7:AH11" si="2">COUNTIF(B7:AC7,"N")</f>
        <v>5</v>
      </c>
      <c r="AI7" s="49">
        <f t="shared" ref="AI7:AI11" si="3">COUNTIF(B7:AC7,"X")</f>
        <v>10</v>
      </c>
      <c r="AJ7" s="49">
        <f t="shared" ref="AJ7:AJ11" si="4">COUNTIF(B7:AC7,"INT")</f>
        <v>4</v>
      </c>
      <c r="AK7" s="49">
        <f t="shared" ref="AK7:AK11" si="5">SUM(AG7+AH7+AJ7)</f>
        <v>16</v>
      </c>
      <c r="AL7" s="49">
        <f t="shared" ref="AL7:AL11" si="6">((AG7*12)+(AH7*12)+(AJ7*8))/4</f>
        <v>44</v>
      </c>
    </row>
    <row r="8">
      <c r="A8" s="13" t="s">
        <v>45</v>
      </c>
      <c r="B8" s="69" t="s">
        <v>38</v>
      </c>
      <c r="C8" s="69" t="s">
        <v>40</v>
      </c>
      <c r="D8" s="69" t="s">
        <v>40</v>
      </c>
      <c r="E8" s="69" t="s">
        <v>40</v>
      </c>
      <c r="F8" s="69" t="s">
        <v>65</v>
      </c>
      <c r="G8" s="69" t="s">
        <v>65</v>
      </c>
      <c r="H8" s="69" t="s">
        <v>40</v>
      </c>
      <c r="I8" s="69" t="s">
        <v>65</v>
      </c>
      <c r="J8" s="69" t="s">
        <v>38</v>
      </c>
      <c r="K8" s="69" t="s">
        <v>38</v>
      </c>
      <c r="L8" s="69" t="s">
        <v>40</v>
      </c>
      <c r="M8" s="69" t="s">
        <v>40</v>
      </c>
      <c r="N8" s="69" t="s">
        <v>38</v>
      </c>
      <c r="O8" s="69" t="s">
        <v>38</v>
      </c>
      <c r="P8" s="60" t="s">
        <v>44</v>
      </c>
      <c r="Q8" s="60" t="s">
        <v>44</v>
      </c>
      <c r="R8" s="60" t="s">
        <v>44</v>
      </c>
      <c r="S8" s="60" t="s">
        <v>44</v>
      </c>
      <c r="T8" s="60" t="s">
        <v>44</v>
      </c>
      <c r="U8" s="61" t="s">
        <v>40</v>
      </c>
      <c r="V8" s="61" t="s">
        <v>40</v>
      </c>
      <c r="W8" s="70" t="s">
        <v>38</v>
      </c>
      <c r="X8" s="70" t="s">
        <v>38</v>
      </c>
      <c r="Y8" s="70" t="s">
        <v>40</v>
      </c>
      <c r="Z8" s="70" t="s">
        <v>40</v>
      </c>
      <c r="AA8" s="70" t="s">
        <v>39</v>
      </c>
      <c r="AB8" s="70" t="s">
        <v>39</v>
      </c>
      <c r="AC8" s="70" t="s">
        <v>40</v>
      </c>
      <c r="AG8" s="49">
        <f t="shared" si="1"/>
        <v>7</v>
      </c>
      <c r="AH8" s="49">
        <f t="shared" si="2"/>
        <v>2</v>
      </c>
      <c r="AI8" s="49">
        <f t="shared" si="3"/>
        <v>11</v>
      </c>
      <c r="AJ8" s="49">
        <f t="shared" si="4"/>
        <v>0</v>
      </c>
      <c r="AK8" s="49">
        <f t="shared" si="5"/>
        <v>9</v>
      </c>
      <c r="AL8" s="49">
        <f t="shared" si="6"/>
        <v>27</v>
      </c>
    </row>
    <row r="9">
      <c r="A9" s="13" t="s">
        <v>47</v>
      </c>
      <c r="B9" s="60" t="s">
        <v>41</v>
      </c>
      <c r="C9" s="60" t="s">
        <v>39</v>
      </c>
      <c r="D9" s="60" t="s">
        <v>40</v>
      </c>
      <c r="E9" s="60" t="s">
        <v>39</v>
      </c>
      <c r="F9" s="60" t="s">
        <v>39</v>
      </c>
      <c r="G9" s="61" t="s">
        <v>39</v>
      </c>
      <c r="H9" s="61" t="s">
        <v>40</v>
      </c>
      <c r="I9" s="70" t="s">
        <v>39</v>
      </c>
      <c r="J9" s="70" t="s">
        <v>39</v>
      </c>
      <c r="K9" s="70" t="s">
        <v>40</v>
      </c>
      <c r="L9" s="70" t="s">
        <v>38</v>
      </c>
      <c r="M9" s="70" t="s">
        <v>38</v>
      </c>
      <c r="N9" s="70" t="s">
        <v>40</v>
      </c>
      <c r="O9" s="70" t="s">
        <v>40</v>
      </c>
      <c r="P9" s="70" t="s">
        <v>39</v>
      </c>
      <c r="Q9" s="70" t="s">
        <v>39</v>
      </c>
      <c r="R9" s="70" t="s">
        <v>40</v>
      </c>
      <c r="S9" s="70"/>
      <c r="T9" s="70"/>
      <c r="U9" s="70"/>
      <c r="V9" s="70"/>
      <c r="W9" s="60"/>
      <c r="X9" s="60"/>
      <c r="Y9" s="60"/>
      <c r="Z9" s="60"/>
      <c r="AA9" s="60"/>
      <c r="AB9" s="61"/>
      <c r="AC9" s="61"/>
      <c r="AG9" s="49">
        <f t="shared" si="1"/>
        <v>2</v>
      </c>
      <c r="AH9" s="49">
        <f t="shared" si="2"/>
        <v>8</v>
      </c>
      <c r="AI9" s="49">
        <f t="shared" si="3"/>
        <v>6</v>
      </c>
      <c r="AJ9" s="49">
        <f t="shared" si="4"/>
        <v>1</v>
      </c>
      <c r="AK9" s="49">
        <f t="shared" si="5"/>
        <v>11</v>
      </c>
      <c r="AL9" s="49">
        <f t="shared" si="6"/>
        <v>32</v>
      </c>
    </row>
    <row r="10">
      <c r="A10" s="13" t="s">
        <v>48</v>
      </c>
      <c r="B10" s="69" t="s">
        <v>39</v>
      </c>
      <c r="C10" s="69" t="s">
        <v>40</v>
      </c>
      <c r="D10" s="69" t="s">
        <v>39</v>
      </c>
      <c r="E10" s="69" t="s">
        <v>40</v>
      </c>
      <c r="F10" s="69" t="s">
        <v>38</v>
      </c>
      <c r="G10" s="69" t="s">
        <v>60</v>
      </c>
      <c r="H10" s="69" t="s">
        <v>38</v>
      </c>
      <c r="I10" s="69" t="s">
        <v>38</v>
      </c>
      <c r="J10" s="69" t="s">
        <v>40</v>
      </c>
      <c r="K10" s="69" t="s">
        <v>39</v>
      </c>
      <c r="L10" s="69" t="s">
        <v>40</v>
      </c>
      <c r="M10" s="69" t="s">
        <v>40</v>
      </c>
      <c r="N10" s="69" t="s">
        <v>39</v>
      </c>
      <c r="O10" s="69" t="s">
        <v>39</v>
      </c>
      <c r="P10" s="69" t="s">
        <v>40</v>
      </c>
      <c r="Q10" s="69" t="s">
        <v>41</v>
      </c>
      <c r="R10" s="69" t="s">
        <v>38</v>
      </c>
      <c r="S10" s="69" t="s">
        <v>38</v>
      </c>
      <c r="T10" s="69" t="s">
        <v>38</v>
      </c>
      <c r="U10" s="69" t="s">
        <v>40</v>
      </c>
      <c r="V10" s="69" t="s">
        <v>40</v>
      </c>
      <c r="W10" s="70" t="s">
        <v>39</v>
      </c>
      <c r="X10" s="70" t="s">
        <v>39</v>
      </c>
      <c r="Y10" s="70" t="s">
        <v>40</v>
      </c>
      <c r="Z10" s="70" t="s">
        <v>40</v>
      </c>
      <c r="AA10" s="70" t="s">
        <v>38</v>
      </c>
      <c r="AB10" s="70" t="s">
        <v>40</v>
      </c>
      <c r="AC10" s="70" t="s">
        <v>40</v>
      </c>
      <c r="AG10" s="49">
        <f t="shared" si="1"/>
        <v>7</v>
      </c>
      <c r="AH10" s="49">
        <f t="shared" si="2"/>
        <v>7</v>
      </c>
      <c r="AI10" s="49">
        <f t="shared" si="3"/>
        <v>12</v>
      </c>
      <c r="AJ10" s="49">
        <f t="shared" si="4"/>
        <v>1</v>
      </c>
      <c r="AK10" s="49">
        <f t="shared" si="5"/>
        <v>15</v>
      </c>
      <c r="AL10" s="49">
        <f t="shared" si="6"/>
        <v>44</v>
      </c>
    </row>
    <row r="11">
      <c r="A11" s="13" t="s">
        <v>84</v>
      </c>
      <c r="B11" s="60" t="s">
        <v>40</v>
      </c>
      <c r="C11" s="60" t="s">
        <v>41</v>
      </c>
      <c r="D11" s="60" t="s">
        <v>41</v>
      </c>
      <c r="E11" s="60" t="s">
        <v>41</v>
      </c>
      <c r="F11" s="60" t="s">
        <v>41</v>
      </c>
      <c r="G11" s="61" t="s">
        <v>38</v>
      </c>
      <c r="H11" s="61" t="s">
        <v>68</v>
      </c>
      <c r="I11" s="69" t="s">
        <v>41</v>
      </c>
      <c r="J11" s="69" t="s">
        <v>40</v>
      </c>
      <c r="K11" s="69" t="s">
        <v>40</v>
      </c>
      <c r="L11" s="69" t="s">
        <v>39</v>
      </c>
      <c r="M11" s="69" t="s">
        <v>39</v>
      </c>
      <c r="N11" s="69" t="s">
        <v>40</v>
      </c>
      <c r="O11" s="69" t="s">
        <v>40</v>
      </c>
      <c r="P11" s="70" t="s">
        <v>38</v>
      </c>
      <c r="Q11" s="70" t="s">
        <v>38</v>
      </c>
      <c r="R11" s="70" t="s">
        <v>40</v>
      </c>
      <c r="S11" s="70" t="s">
        <v>40</v>
      </c>
      <c r="T11" s="70" t="s">
        <v>39</v>
      </c>
      <c r="U11" s="70" t="s">
        <v>39</v>
      </c>
      <c r="V11" s="70" t="s">
        <v>39</v>
      </c>
      <c r="W11" s="69" t="s">
        <v>40</v>
      </c>
      <c r="X11" s="69" t="s">
        <v>40</v>
      </c>
      <c r="Y11" s="69" t="s">
        <v>38</v>
      </c>
      <c r="Z11" s="69" t="s">
        <v>38</v>
      </c>
      <c r="AA11" s="69" t="s">
        <v>40</v>
      </c>
      <c r="AB11" s="69" t="s">
        <v>40</v>
      </c>
      <c r="AC11" s="69" t="s">
        <v>39</v>
      </c>
      <c r="AG11" s="49">
        <f t="shared" si="1"/>
        <v>5</v>
      </c>
      <c r="AH11" s="49">
        <f t="shared" si="2"/>
        <v>6</v>
      </c>
      <c r="AI11" s="49">
        <f t="shared" si="3"/>
        <v>11</v>
      </c>
      <c r="AJ11" s="49">
        <f t="shared" si="4"/>
        <v>5</v>
      </c>
      <c r="AK11" s="49">
        <f t="shared" si="5"/>
        <v>16</v>
      </c>
      <c r="AL11" s="49">
        <f t="shared" si="6"/>
        <v>43</v>
      </c>
    </row>
    <row r="12">
      <c r="A12" s="1" t="s">
        <v>73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1" t="s">
        <v>44</v>
      </c>
      <c r="AB12" s="21" t="s">
        <v>44</v>
      </c>
      <c r="AC12" s="21" t="s">
        <v>44</v>
      </c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1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32"/>
      <c r="J16" s="28"/>
      <c r="K16" s="28"/>
      <c r="L16" s="62"/>
      <c r="M16" s="28"/>
      <c r="N16" s="28"/>
      <c r="O16" s="28"/>
      <c r="S16" s="70"/>
      <c r="T16" s="70"/>
      <c r="U16" s="70"/>
      <c r="V16" s="70"/>
      <c r="W16" s="60"/>
      <c r="X16" s="60"/>
      <c r="Y16" s="60"/>
      <c r="Z16" s="60"/>
      <c r="AA16" s="60"/>
      <c r="AB16" s="61"/>
      <c r="AC16" s="61"/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11"/>
      <c r="K17" s="9" t="s">
        <v>2</v>
      </c>
      <c r="L17" s="9" t="s">
        <v>3</v>
      </c>
      <c r="M17" s="9" t="s">
        <v>4</v>
      </c>
      <c r="N17" s="9" t="s">
        <v>5</v>
      </c>
      <c r="O17" s="9" t="s">
        <v>6</v>
      </c>
      <c r="P17" s="9" t="s">
        <v>7</v>
      </c>
      <c r="Q17" s="9" t="s">
        <v>8</v>
      </c>
      <c r="R17" s="11"/>
      <c r="S17" s="11"/>
      <c r="T17" s="11"/>
      <c r="U17" s="11"/>
      <c r="V17" s="11"/>
      <c r="W17" s="11"/>
      <c r="AA17" s="1" t="s">
        <v>108</v>
      </c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/>
      <c r="K18" s="13" t="s">
        <v>17</v>
      </c>
      <c r="L18" s="13" t="s">
        <v>18</v>
      </c>
      <c r="M18" s="13" t="s">
        <v>19</v>
      </c>
      <c r="N18" s="13" t="s">
        <v>20</v>
      </c>
      <c r="O18" s="13" t="s">
        <v>21</v>
      </c>
      <c r="P18" s="13" t="s">
        <v>22</v>
      </c>
      <c r="Q18" s="13" t="s">
        <v>23</v>
      </c>
      <c r="R18" s="13"/>
      <c r="S18" s="13"/>
      <c r="T18" s="13"/>
      <c r="U18" s="13"/>
      <c r="V18" s="13"/>
      <c r="W18" s="13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K19" s="68"/>
      <c r="L19" s="68"/>
      <c r="M19" s="68"/>
      <c r="N19" s="68"/>
      <c r="O19" s="68"/>
      <c r="P19" s="68"/>
      <c r="Q19" s="68"/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K20" s="71" t="s">
        <v>38</v>
      </c>
      <c r="L20" s="71" t="s">
        <v>38</v>
      </c>
      <c r="M20" s="71" t="s">
        <v>40</v>
      </c>
      <c r="N20" s="71" t="s">
        <v>40</v>
      </c>
      <c r="O20" s="71" t="s">
        <v>39</v>
      </c>
      <c r="P20" s="71" t="s">
        <v>39</v>
      </c>
      <c r="Q20" s="71" t="s">
        <v>40</v>
      </c>
      <c r="R20" s="19" t="s">
        <v>43</v>
      </c>
      <c r="T20" s="20"/>
      <c r="U20" s="20"/>
      <c r="V20" s="20"/>
      <c r="W20" s="20"/>
      <c r="X20" s="19"/>
    </row>
    <row r="21">
      <c r="E21" s="33" t="s">
        <v>40</v>
      </c>
      <c r="F21" s="1" t="s">
        <v>57</v>
      </c>
      <c r="H21" s="34"/>
      <c r="J21" s="59"/>
      <c r="K21" s="70" t="s">
        <v>40</v>
      </c>
      <c r="L21" s="70" t="s">
        <v>40</v>
      </c>
      <c r="M21" s="70" t="s">
        <v>39</v>
      </c>
      <c r="N21" s="70" t="s">
        <v>39</v>
      </c>
      <c r="O21" s="70" t="s">
        <v>40</v>
      </c>
      <c r="P21" s="70" t="s">
        <v>40</v>
      </c>
      <c r="Q21" s="70" t="s">
        <v>60</v>
      </c>
      <c r="R21" s="13" t="s">
        <v>45</v>
      </c>
      <c r="T21" s="20"/>
      <c r="U21" s="20"/>
      <c r="V21" s="20"/>
      <c r="W21" s="20"/>
      <c r="X21" s="13"/>
    </row>
    <row r="22">
      <c r="E22" s="33" t="s">
        <v>58</v>
      </c>
      <c r="F22" s="1" t="s">
        <v>59</v>
      </c>
      <c r="H22" s="34"/>
      <c r="I22" s="72"/>
      <c r="J22" s="73"/>
      <c r="K22" s="60" t="s">
        <v>41</v>
      </c>
      <c r="L22" s="60" t="s">
        <v>41</v>
      </c>
      <c r="M22" s="60" t="s">
        <v>41</v>
      </c>
      <c r="N22" s="60" t="s">
        <v>41</v>
      </c>
      <c r="O22" s="60" t="s">
        <v>41</v>
      </c>
      <c r="P22" s="61" t="s">
        <v>68</v>
      </c>
      <c r="Q22" s="61" t="s">
        <v>38</v>
      </c>
      <c r="R22" s="13" t="s">
        <v>47</v>
      </c>
      <c r="T22" s="20"/>
      <c r="U22" s="20"/>
      <c r="V22" s="20"/>
      <c r="W22" s="20"/>
      <c r="X22" s="13"/>
    </row>
    <row r="23">
      <c r="E23" s="33" t="s">
        <v>60</v>
      </c>
      <c r="F23" s="1" t="s">
        <v>61</v>
      </c>
      <c r="H23" s="34"/>
      <c r="I23" s="20"/>
      <c r="J23" s="59"/>
      <c r="K23" s="70" t="s">
        <v>39</v>
      </c>
      <c r="L23" s="70" t="s">
        <v>39</v>
      </c>
      <c r="M23" s="70" t="s">
        <v>40</v>
      </c>
      <c r="N23" s="70" t="s">
        <v>40</v>
      </c>
      <c r="O23" s="70" t="s">
        <v>38</v>
      </c>
      <c r="P23" s="70" t="s">
        <v>38</v>
      </c>
      <c r="Q23" s="70" t="s">
        <v>40</v>
      </c>
      <c r="R23" s="13" t="s">
        <v>48</v>
      </c>
      <c r="T23" s="20"/>
      <c r="U23" s="20"/>
      <c r="V23" s="20"/>
      <c r="W23" s="20"/>
      <c r="X23" s="13"/>
    </row>
    <row r="24">
      <c r="E24" s="33" t="s">
        <v>44</v>
      </c>
      <c r="F24" s="1" t="s">
        <v>62</v>
      </c>
      <c r="H24" s="34"/>
      <c r="I24" s="20"/>
      <c r="J24" s="55"/>
      <c r="K24" s="69" t="s">
        <v>40</v>
      </c>
      <c r="L24" s="69" t="s">
        <v>40</v>
      </c>
      <c r="M24" s="69" t="s">
        <v>38</v>
      </c>
      <c r="N24" s="69" t="s">
        <v>38</v>
      </c>
      <c r="O24" s="69" t="s">
        <v>40</v>
      </c>
      <c r="P24" s="69" t="s">
        <v>40</v>
      </c>
      <c r="Q24" s="69" t="s">
        <v>39</v>
      </c>
      <c r="R24" s="13" t="s">
        <v>84</v>
      </c>
      <c r="T24" s="20"/>
      <c r="U24" s="20"/>
      <c r="V24" s="20"/>
      <c r="W24" s="20"/>
      <c r="X24" s="13"/>
    </row>
    <row r="25">
      <c r="E25" s="33" t="s">
        <v>63</v>
      </c>
      <c r="F25" s="1" t="s">
        <v>64</v>
      </c>
      <c r="H25" s="34"/>
      <c r="K25" s="22"/>
      <c r="L25" s="22"/>
      <c r="M25" s="22"/>
      <c r="N25" s="22"/>
      <c r="O25" s="22"/>
      <c r="P25" s="22"/>
      <c r="Q25" s="22"/>
    </row>
    <row r="26">
      <c r="E26" s="33" t="s">
        <v>65</v>
      </c>
      <c r="F26" s="1" t="s">
        <v>66</v>
      </c>
      <c r="H26" s="34"/>
      <c r="K26" s="25"/>
      <c r="L26" s="25"/>
      <c r="M26" s="25"/>
      <c r="N26" s="25"/>
      <c r="O26" s="25"/>
      <c r="P26" s="25"/>
      <c r="Q26" s="25"/>
    </row>
    <row r="27">
      <c r="E27" s="33" t="s">
        <v>46</v>
      </c>
      <c r="F27" s="1" t="s">
        <v>67</v>
      </c>
      <c r="H27" s="34"/>
      <c r="K27" s="25"/>
      <c r="L27" s="25"/>
      <c r="M27" s="25"/>
      <c r="N27" s="25"/>
      <c r="O27" s="25"/>
      <c r="P27" s="25"/>
      <c r="Q27" s="25"/>
    </row>
    <row r="28">
      <c r="E28" s="35" t="s">
        <v>68</v>
      </c>
      <c r="F28" s="36" t="s">
        <v>69</v>
      </c>
      <c r="G28" s="8"/>
      <c r="H28" s="37"/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14">
    <mergeCell ref="F22:H22"/>
    <mergeCell ref="F23:H23"/>
    <mergeCell ref="F24:H24"/>
    <mergeCell ref="F25:H25"/>
    <mergeCell ref="F26:H26"/>
    <mergeCell ref="F27:H27"/>
    <mergeCell ref="F28:H28"/>
    <mergeCell ref="B1:AC3"/>
    <mergeCell ref="E16:H16"/>
    <mergeCell ref="F17:H17"/>
    <mergeCell ref="F18:H18"/>
    <mergeCell ref="F19:H19"/>
    <mergeCell ref="F20:H20"/>
    <mergeCell ref="F21:H21"/>
  </mergeCells>
  <conditionalFormatting sqref="B9:H9 T22:W22">
    <cfRule type="cellIs" dxfId="0" priority="1" operator="equal">
      <formula>"X"</formula>
    </cfRule>
  </conditionalFormatting>
  <conditionalFormatting sqref="B9:H9 T22:W22">
    <cfRule type="cellIs" dxfId="1" priority="2" operator="equal">
      <formula>"D"</formula>
    </cfRule>
  </conditionalFormatting>
  <conditionalFormatting sqref="B9:H9 T22:W22">
    <cfRule type="cellIs" dxfId="2" priority="3" operator="equal">
      <formula>"N"</formula>
    </cfRule>
  </conditionalFormatting>
  <conditionalFormatting sqref="B9:H9 T22:W22">
    <cfRule type="cellIs" dxfId="3" priority="4" operator="equal">
      <formula>"OB"</formula>
    </cfRule>
  </conditionalFormatting>
  <conditionalFormatting sqref="B9:H9 T22:W22">
    <cfRule type="cellIs" dxfId="0" priority="5" operator="equal">
      <formula>"C"</formula>
    </cfRule>
  </conditionalFormatting>
  <conditionalFormatting sqref="B9:H9 T22:W22">
    <cfRule type="cellIs" dxfId="0" priority="6" operator="equal">
      <formula>"AL"</formula>
    </cfRule>
  </conditionalFormatting>
  <conditionalFormatting sqref="B9:H9 T22:W22">
    <cfRule type="cellIs" dxfId="4" priority="7" operator="equal">
      <formula>"UP"</formula>
    </cfRule>
  </conditionalFormatting>
  <conditionalFormatting sqref="B9:H9 T22:W22">
    <cfRule type="cellIs" dxfId="0" priority="8" operator="equal">
      <formula>"S"</formula>
    </cfRule>
  </conditionalFormatting>
  <conditionalFormatting sqref="B9:H9 T22:W22">
    <cfRule type="cellIs" dxfId="5" priority="9" operator="equal">
      <formula>"OC"</formula>
    </cfRule>
  </conditionalFormatting>
  <conditionalFormatting sqref="B9:H9 T22:W22">
    <cfRule type="cellIs" dxfId="6" priority="10" operator="equal">
      <formula>"SPV"</formula>
    </cfRule>
  </conditionalFormatting>
  <conditionalFormatting sqref="B9:H9 T22:W22">
    <cfRule type="cellIs" dxfId="7" priority="11" operator="equal">
      <formula>"INT"</formula>
    </cfRule>
  </conditionalFormatting>
  <conditionalFormatting sqref="B9:H9 T22:W22">
    <cfRule type="cellIs" dxfId="8" priority="12" operator="equal">
      <formula>"T"</formula>
    </cfRule>
  </conditionalFormatting>
  <conditionalFormatting sqref="B7:AC11 S16:AC16 E17:E28 J20:J24 K20:Q25 T20:W21 I22:I24 T23:W24 B33:H36 G38:J38">
    <cfRule type="cellIs" dxfId="0" priority="13" operator="equal">
      <formula>"X"</formula>
    </cfRule>
  </conditionalFormatting>
  <conditionalFormatting sqref="B7:AC11 S16:AC16 E17:E28 J20:J24 K20:Q25 T20:W21 I22:I24 T23:W24 B33:H36 G38:J38">
    <cfRule type="cellIs" dxfId="1" priority="14" operator="equal">
      <formula>"D"</formula>
    </cfRule>
  </conditionalFormatting>
  <conditionalFormatting sqref="B7:AC11 S16:AC16 E17:E28 J20:J24 K20:Q25 T20:W21 I22:I24 T23:W24 B33:H36 G38:J38">
    <cfRule type="cellIs" dxfId="2" priority="15" operator="equal">
      <formula>"N"</formula>
    </cfRule>
  </conditionalFormatting>
  <conditionalFormatting sqref="B7:AC11 S16:AC16 E17:E28 J20:J24 K20:Q25 T20:W21 I22:I24 T23:W24 B33:H36 G38:J38">
    <cfRule type="cellIs" dxfId="3" priority="16" operator="equal">
      <formula>"OB"</formula>
    </cfRule>
  </conditionalFormatting>
  <conditionalFormatting sqref="B7:AC11 S16:AC16 E17:E28 J20:J24 K20:Q25 T20:W21 I22:I24 T23:W24 B33:H36 G38:J38">
    <cfRule type="cellIs" dxfId="0" priority="17" operator="equal">
      <formula>"C"</formula>
    </cfRule>
  </conditionalFormatting>
  <conditionalFormatting sqref="B7:AC11 S16:AC16 E17:E28 J20:J24 K20:Q25 T20:W21 I22:I24 T23:W24 B33:H36 G38:J38">
    <cfRule type="cellIs" dxfId="0" priority="18" operator="equal">
      <formula>"AL"</formula>
    </cfRule>
  </conditionalFormatting>
  <conditionalFormatting sqref="B7:AC11 S16:AC16 E17:E28 J20:J24 K20:Q25 T20:W21 I22:I24 T23:W24 B33:H36 G38:J38">
    <cfRule type="cellIs" dxfId="4" priority="19" operator="equal">
      <formula>"UP"</formula>
    </cfRule>
  </conditionalFormatting>
  <conditionalFormatting sqref="B7:AC11 S16:AC16 E17:E28 J20:J24 K20:Q25 T20:W21 I22:I24 T23:W24 B33:H36 G38:J38">
    <cfRule type="cellIs" dxfId="0" priority="20" operator="equal">
      <formula>"S"</formula>
    </cfRule>
  </conditionalFormatting>
  <conditionalFormatting sqref="B7:AC11 S16:AC16 E17:E28 J20:J24 K20:Q25 T20:W21 I22:I24 T23:W24 B33:H36 G38:J38">
    <cfRule type="cellIs" dxfId="5" priority="21" operator="equal">
      <formula>"OC"</formula>
    </cfRule>
  </conditionalFormatting>
  <conditionalFormatting sqref="B7:AC11 S16:AC16 E17:E28 J20:J24 K20:Q25 T20:W21 I22:I24 T23:W24 B33:H36 G38:J38">
    <cfRule type="cellIs" dxfId="6" priority="22" operator="equal">
      <formula>"SPV"</formula>
    </cfRule>
  </conditionalFormatting>
  <conditionalFormatting sqref="B7:AC11 S16:AC16 E17:E28 J20:J24 K20:Q25 T20:W21 I22:I24 T23:W24 B33:H36 G38:J38">
    <cfRule type="cellIs" dxfId="7" priority="23" operator="equal">
      <formula>"INT"</formula>
    </cfRule>
  </conditionalFormatting>
  <conditionalFormatting sqref="B7:AC11 S16:AC16 J20:Q24 T20:W21 T23:W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109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 t="s">
        <v>28</v>
      </c>
      <c r="J5" s="13" t="s">
        <v>29</v>
      </c>
      <c r="K5" s="13" t="s">
        <v>30</v>
      </c>
      <c r="L5" s="13" t="s">
        <v>31</v>
      </c>
      <c r="M5" s="13" t="s">
        <v>32</v>
      </c>
      <c r="N5" s="13" t="s">
        <v>33</v>
      </c>
      <c r="O5" s="13" t="s">
        <v>34</v>
      </c>
      <c r="P5" s="13" t="s">
        <v>35</v>
      </c>
      <c r="Q5" s="13" t="s">
        <v>36</v>
      </c>
      <c r="R5" s="13" t="s">
        <v>37</v>
      </c>
      <c r="S5" s="13" t="s">
        <v>71</v>
      </c>
      <c r="T5" s="13" t="s">
        <v>75</v>
      </c>
      <c r="U5" s="13" t="s">
        <v>10</v>
      </c>
      <c r="V5" s="13" t="s">
        <v>11</v>
      </c>
      <c r="W5" s="13" t="s">
        <v>12</v>
      </c>
      <c r="X5" s="13" t="s">
        <v>13</v>
      </c>
      <c r="Y5" s="13" t="s">
        <v>14</v>
      </c>
      <c r="Z5" s="13" t="s">
        <v>15</v>
      </c>
      <c r="AA5" s="13" t="s">
        <v>16</v>
      </c>
      <c r="AB5" s="13" t="s">
        <v>17</v>
      </c>
      <c r="AC5" s="13" t="s">
        <v>18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69" t="s">
        <v>40</v>
      </c>
      <c r="C7" s="69" t="s">
        <v>40</v>
      </c>
      <c r="D7" s="69" t="s">
        <v>40</v>
      </c>
      <c r="E7" s="69" t="s">
        <v>39</v>
      </c>
      <c r="F7" s="69" t="s">
        <v>39</v>
      </c>
      <c r="G7" s="69" t="s">
        <v>39</v>
      </c>
      <c r="H7" s="69" t="s">
        <v>40</v>
      </c>
      <c r="I7" s="60" t="s">
        <v>40</v>
      </c>
      <c r="J7" s="60" t="s">
        <v>38</v>
      </c>
      <c r="K7" s="60" t="s">
        <v>38</v>
      </c>
      <c r="L7" s="60" t="s">
        <v>40</v>
      </c>
      <c r="M7" s="60" t="s">
        <v>40</v>
      </c>
      <c r="N7" s="61" t="s">
        <v>39</v>
      </c>
      <c r="O7" s="61" t="s">
        <v>39</v>
      </c>
      <c r="P7" s="70" t="s">
        <v>40</v>
      </c>
      <c r="Q7" s="70" t="s">
        <v>40</v>
      </c>
      <c r="R7" s="70" t="s">
        <v>38</v>
      </c>
      <c r="S7" s="70" t="s">
        <v>38</v>
      </c>
      <c r="T7" s="70" t="s">
        <v>40</v>
      </c>
      <c r="U7" s="70" t="s">
        <v>40</v>
      </c>
      <c r="V7" s="70" t="s">
        <v>39</v>
      </c>
      <c r="W7" s="71" t="s">
        <v>39</v>
      </c>
      <c r="X7" s="71" t="s">
        <v>40</v>
      </c>
      <c r="Y7" s="71" t="s">
        <v>38</v>
      </c>
      <c r="Z7" s="71" t="s">
        <v>38</v>
      </c>
      <c r="AA7" s="71" t="s">
        <v>38</v>
      </c>
      <c r="AB7" s="71" t="s">
        <v>40</v>
      </c>
      <c r="AC7" s="71" t="s">
        <v>40</v>
      </c>
      <c r="AG7" s="49">
        <f t="shared" ref="AG7:AG11" si="1">COUNTIF(B7:AC7,"D")</f>
        <v>7</v>
      </c>
      <c r="AH7" s="49">
        <f t="shared" ref="AH7:AH11" si="2">COUNTIF(B7:AC7,"N")</f>
        <v>7</v>
      </c>
      <c r="AI7" s="49">
        <f t="shared" ref="AI7:AI11" si="3">COUNTIF(B7:AC7,"X")</f>
        <v>14</v>
      </c>
      <c r="AJ7" s="49">
        <f t="shared" ref="AJ7:AJ11" si="4">COUNTIF(B7:AC7,"INT")</f>
        <v>0</v>
      </c>
      <c r="AK7" s="49">
        <f t="shared" ref="AK7:AK11" si="5">SUM(AG7+AH7+AJ7)</f>
        <v>14</v>
      </c>
      <c r="AL7" s="49">
        <f t="shared" ref="AL7:AL11" si="6">((AG7*12)+(AH7*12)+(AJ7*8))/4</f>
        <v>42</v>
      </c>
    </row>
    <row r="8">
      <c r="A8" s="13" t="s">
        <v>45</v>
      </c>
      <c r="B8" s="69" t="s">
        <v>40</v>
      </c>
      <c r="C8" s="69" t="s">
        <v>38</v>
      </c>
      <c r="D8" s="69" t="s">
        <v>38</v>
      </c>
      <c r="E8" s="69" t="s">
        <v>40</v>
      </c>
      <c r="F8" s="69" t="s">
        <v>40</v>
      </c>
      <c r="G8" s="69" t="s">
        <v>65</v>
      </c>
      <c r="H8" s="69" t="s">
        <v>65</v>
      </c>
      <c r="I8" s="69" t="s">
        <v>39</v>
      </c>
      <c r="J8" s="69" t="s">
        <v>39</v>
      </c>
      <c r="K8" s="69" t="s">
        <v>40</v>
      </c>
      <c r="L8" s="69" t="s">
        <v>38</v>
      </c>
      <c r="M8" s="69" t="s">
        <v>38</v>
      </c>
      <c r="N8" s="69" t="s">
        <v>40</v>
      </c>
      <c r="O8" s="69" t="s">
        <v>40</v>
      </c>
      <c r="P8" s="60" t="s">
        <v>39</v>
      </c>
      <c r="Q8" s="60" t="s">
        <v>39</v>
      </c>
      <c r="R8" s="60" t="s">
        <v>40</v>
      </c>
      <c r="S8" s="60" t="s">
        <v>40</v>
      </c>
      <c r="T8" s="60" t="s">
        <v>38</v>
      </c>
      <c r="U8" s="61" t="s">
        <v>38</v>
      </c>
      <c r="V8" s="61" t="s">
        <v>40</v>
      </c>
      <c r="W8" s="70" t="s">
        <v>40</v>
      </c>
      <c r="X8" s="70" t="s">
        <v>39</v>
      </c>
      <c r="Y8" s="70" t="s">
        <v>39</v>
      </c>
      <c r="Z8" s="70" t="s">
        <v>39</v>
      </c>
      <c r="AA8" s="70" t="s">
        <v>40</v>
      </c>
      <c r="AB8" s="70" t="s">
        <v>38</v>
      </c>
      <c r="AC8" s="70" t="s">
        <v>38</v>
      </c>
      <c r="AG8" s="49">
        <f t="shared" si="1"/>
        <v>8</v>
      </c>
      <c r="AH8" s="49">
        <f t="shared" si="2"/>
        <v>7</v>
      </c>
      <c r="AI8" s="49">
        <f t="shared" si="3"/>
        <v>11</v>
      </c>
      <c r="AJ8" s="49">
        <f t="shared" si="4"/>
        <v>0</v>
      </c>
      <c r="AK8" s="49">
        <f t="shared" si="5"/>
        <v>15</v>
      </c>
      <c r="AL8" s="49">
        <f t="shared" si="6"/>
        <v>45</v>
      </c>
    </row>
    <row r="9">
      <c r="A9" s="13" t="s">
        <v>73</v>
      </c>
      <c r="B9" s="60" t="s">
        <v>44</v>
      </c>
      <c r="C9" s="60" t="s">
        <v>44</v>
      </c>
      <c r="D9" s="60" t="s">
        <v>40</v>
      </c>
      <c r="E9" s="60" t="s">
        <v>40</v>
      </c>
      <c r="F9" s="60" t="s">
        <v>38</v>
      </c>
      <c r="G9" s="61" t="s">
        <v>38</v>
      </c>
      <c r="H9" s="61" t="s">
        <v>39</v>
      </c>
      <c r="I9" s="70" t="s">
        <v>40</v>
      </c>
      <c r="J9" s="70" t="s">
        <v>40</v>
      </c>
      <c r="K9" s="70" t="s">
        <v>39</v>
      </c>
      <c r="L9" s="70" t="s">
        <v>40</v>
      </c>
      <c r="M9" s="70" t="s">
        <v>40</v>
      </c>
      <c r="N9" s="70" t="s">
        <v>38</v>
      </c>
      <c r="O9" s="70" t="s">
        <v>38</v>
      </c>
      <c r="P9" s="70" t="s">
        <v>40</v>
      </c>
      <c r="Q9" s="70" t="s">
        <v>40</v>
      </c>
      <c r="R9" s="70" t="s">
        <v>39</v>
      </c>
      <c r="S9" s="70" t="s">
        <v>39</v>
      </c>
      <c r="T9" s="70" t="s">
        <v>40</v>
      </c>
      <c r="U9" s="70" t="s">
        <v>40</v>
      </c>
      <c r="V9" s="70" t="s">
        <v>38</v>
      </c>
      <c r="W9" s="60" t="s">
        <v>38</v>
      </c>
      <c r="X9" s="60" t="s">
        <v>38</v>
      </c>
      <c r="Y9" s="60" t="s">
        <v>40</v>
      </c>
      <c r="Z9" s="60" t="s">
        <v>40</v>
      </c>
      <c r="AA9" s="60" t="s">
        <v>39</v>
      </c>
      <c r="AB9" s="61" t="s">
        <v>39</v>
      </c>
      <c r="AC9" s="61" t="s">
        <v>39</v>
      </c>
      <c r="AG9" s="49">
        <f t="shared" si="1"/>
        <v>7</v>
      </c>
      <c r="AH9" s="49">
        <f t="shared" si="2"/>
        <v>7</v>
      </c>
      <c r="AI9" s="49">
        <f t="shared" si="3"/>
        <v>12</v>
      </c>
      <c r="AJ9" s="49">
        <f t="shared" si="4"/>
        <v>0</v>
      </c>
      <c r="AK9" s="49">
        <f t="shared" si="5"/>
        <v>14</v>
      </c>
      <c r="AL9" s="49">
        <f t="shared" si="6"/>
        <v>42</v>
      </c>
    </row>
    <row r="10">
      <c r="A10" s="13" t="s">
        <v>48</v>
      </c>
      <c r="B10" s="69" t="s">
        <v>38</v>
      </c>
      <c r="C10" s="69" t="s">
        <v>39</v>
      </c>
      <c r="D10" s="69" t="s">
        <v>39</v>
      </c>
      <c r="E10" s="69" t="s">
        <v>40</v>
      </c>
      <c r="F10" s="69" t="s">
        <v>40</v>
      </c>
      <c r="G10" s="69" t="s">
        <v>40</v>
      </c>
      <c r="H10" s="69" t="s">
        <v>38</v>
      </c>
      <c r="I10" s="69" t="s">
        <v>38</v>
      </c>
      <c r="J10" s="69" t="s">
        <v>40</v>
      </c>
      <c r="K10" s="69" t="s">
        <v>40</v>
      </c>
      <c r="L10" s="69" t="s">
        <v>39</v>
      </c>
      <c r="M10" s="69" t="s">
        <v>39</v>
      </c>
      <c r="N10" s="69" t="s">
        <v>40</v>
      </c>
      <c r="O10" s="69" t="s">
        <v>40</v>
      </c>
      <c r="P10" s="69" t="s">
        <v>38</v>
      </c>
      <c r="Q10" s="69" t="s">
        <v>38</v>
      </c>
      <c r="R10" s="69" t="s">
        <v>40</v>
      </c>
      <c r="S10" s="69" t="s">
        <v>40</v>
      </c>
      <c r="T10" s="69" t="s">
        <v>39</v>
      </c>
      <c r="U10" s="69" t="s">
        <v>39</v>
      </c>
      <c r="V10" s="69" t="s">
        <v>40</v>
      </c>
      <c r="W10" s="70" t="s">
        <v>44</v>
      </c>
      <c r="X10" s="70" t="s">
        <v>44</v>
      </c>
      <c r="Y10" s="70" t="s">
        <v>44</v>
      </c>
      <c r="Z10" s="70" t="s">
        <v>44</v>
      </c>
      <c r="AA10" s="70" t="s">
        <v>44</v>
      </c>
      <c r="AB10" s="70" t="s">
        <v>40</v>
      </c>
      <c r="AC10" s="70" t="s">
        <v>40</v>
      </c>
      <c r="AG10" s="49">
        <f t="shared" si="1"/>
        <v>5</v>
      </c>
      <c r="AH10" s="49">
        <f t="shared" si="2"/>
        <v>6</v>
      </c>
      <c r="AI10" s="49">
        <f t="shared" si="3"/>
        <v>12</v>
      </c>
      <c r="AJ10" s="49">
        <f t="shared" si="4"/>
        <v>0</v>
      </c>
      <c r="AK10" s="49">
        <f t="shared" si="5"/>
        <v>11</v>
      </c>
      <c r="AL10" s="49">
        <f t="shared" si="6"/>
        <v>33</v>
      </c>
    </row>
    <row r="11">
      <c r="A11" s="13" t="s">
        <v>84</v>
      </c>
      <c r="B11" s="60" t="s">
        <v>39</v>
      </c>
      <c r="C11" s="60" t="s">
        <v>40</v>
      </c>
      <c r="D11" s="60" t="s">
        <v>40</v>
      </c>
      <c r="E11" s="60" t="s">
        <v>38</v>
      </c>
      <c r="F11" s="60"/>
      <c r="G11" s="61"/>
      <c r="H11" s="61"/>
      <c r="I11" s="69"/>
      <c r="J11" s="69"/>
      <c r="K11" s="69"/>
      <c r="L11" s="69"/>
      <c r="M11" s="69"/>
      <c r="N11" s="69"/>
      <c r="O11" s="69"/>
      <c r="P11" s="70"/>
      <c r="Q11" s="70"/>
      <c r="R11" s="70"/>
      <c r="S11" s="70"/>
      <c r="T11" s="70"/>
      <c r="U11" s="70"/>
      <c r="V11" s="70"/>
      <c r="W11" s="69"/>
      <c r="X11" s="69"/>
      <c r="Y11" s="69"/>
      <c r="Z11" s="69"/>
      <c r="AA11" s="69"/>
      <c r="AB11" s="69"/>
      <c r="AC11" s="69"/>
      <c r="AG11" s="49">
        <f t="shared" si="1"/>
        <v>1</v>
      </c>
      <c r="AH11" s="49">
        <f t="shared" si="2"/>
        <v>1</v>
      </c>
      <c r="AI11" s="49">
        <f t="shared" si="3"/>
        <v>2</v>
      </c>
      <c r="AJ11" s="49">
        <f t="shared" si="4"/>
        <v>0</v>
      </c>
      <c r="AK11" s="49">
        <f t="shared" si="5"/>
        <v>2</v>
      </c>
      <c r="AL11" s="49">
        <f t="shared" si="6"/>
        <v>6</v>
      </c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1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32"/>
      <c r="J16" s="28"/>
      <c r="K16" s="9" t="s">
        <v>2</v>
      </c>
      <c r="L16" s="9" t="s">
        <v>3</v>
      </c>
      <c r="M16" s="9" t="s">
        <v>4</v>
      </c>
      <c r="N16" s="9" t="s">
        <v>5</v>
      </c>
      <c r="O16" s="9" t="s">
        <v>6</v>
      </c>
      <c r="P16" s="9" t="s">
        <v>7</v>
      </c>
      <c r="Q16" s="9" t="s">
        <v>8</v>
      </c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11"/>
      <c r="K17" s="13" t="s">
        <v>14</v>
      </c>
      <c r="L17" s="13" t="s">
        <v>15</v>
      </c>
      <c r="M17" s="13" t="s">
        <v>16</v>
      </c>
      <c r="N17" s="13" t="s">
        <v>17</v>
      </c>
      <c r="O17" s="13" t="s">
        <v>18</v>
      </c>
      <c r="P17" s="13" t="s">
        <v>19</v>
      </c>
      <c r="Q17" s="13" t="s">
        <v>20</v>
      </c>
      <c r="R17" s="11"/>
      <c r="S17" s="11"/>
      <c r="T17" s="11"/>
      <c r="U17" s="11"/>
      <c r="V17" s="11"/>
      <c r="W17" s="11"/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/>
      <c r="K18" s="68"/>
      <c r="L18" s="68"/>
      <c r="M18" s="68"/>
      <c r="N18" s="68"/>
      <c r="O18" s="68"/>
      <c r="P18" s="68"/>
      <c r="Q18" s="68"/>
      <c r="R18" s="13"/>
      <c r="S18" s="13"/>
      <c r="T18" s="13"/>
      <c r="U18" s="13"/>
      <c r="V18" s="13"/>
      <c r="W18" s="13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K19" s="71" t="s">
        <v>40</v>
      </c>
      <c r="L19" s="71" t="s">
        <v>40</v>
      </c>
      <c r="M19" s="71" t="s">
        <v>39</v>
      </c>
      <c r="N19" s="71" t="s">
        <v>39</v>
      </c>
      <c r="O19" s="71" t="s">
        <v>40</v>
      </c>
      <c r="P19" s="71" t="s">
        <v>40</v>
      </c>
      <c r="Q19" s="71" t="s">
        <v>38</v>
      </c>
      <c r="R19" s="19" t="s">
        <v>43</v>
      </c>
      <c r="T19" s="20"/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K20" s="70" t="s">
        <v>38</v>
      </c>
      <c r="L20" s="70" t="s">
        <v>38</v>
      </c>
      <c r="M20" s="70" t="s">
        <v>40</v>
      </c>
      <c r="N20" s="70" t="s">
        <v>40</v>
      </c>
      <c r="O20" s="70" t="s">
        <v>39</v>
      </c>
      <c r="P20" s="70" t="s">
        <v>39</v>
      </c>
      <c r="Q20" s="70" t="s">
        <v>40</v>
      </c>
      <c r="R20" s="13" t="s">
        <v>45</v>
      </c>
      <c r="T20" s="20"/>
      <c r="U20" s="20"/>
      <c r="V20" s="20"/>
      <c r="W20" s="20"/>
      <c r="X20" s="19"/>
    </row>
    <row r="21">
      <c r="E21" s="33" t="s">
        <v>40</v>
      </c>
      <c r="F21" s="1" t="s">
        <v>57</v>
      </c>
      <c r="H21" s="34"/>
      <c r="J21" s="59"/>
      <c r="K21" s="60"/>
      <c r="L21" s="60"/>
      <c r="M21" s="60"/>
      <c r="N21" s="60"/>
      <c r="O21" s="60"/>
      <c r="P21" s="61"/>
      <c r="Q21" s="61"/>
      <c r="R21" s="13" t="s">
        <v>47</v>
      </c>
      <c r="T21" s="20"/>
      <c r="U21" s="20"/>
      <c r="V21" s="20"/>
      <c r="W21" s="20"/>
      <c r="X21" s="13"/>
    </row>
    <row r="22">
      <c r="E22" s="33" t="s">
        <v>58</v>
      </c>
      <c r="F22" s="1" t="s">
        <v>59</v>
      </c>
      <c r="H22" s="34"/>
      <c r="I22" s="72"/>
      <c r="J22" s="73"/>
      <c r="K22" s="70" t="s">
        <v>39</v>
      </c>
      <c r="L22" s="70" t="s">
        <v>39</v>
      </c>
      <c r="M22" s="70" t="s">
        <v>40</v>
      </c>
      <c r="N22" s="70" t="s">
        <v>40</v>
      </c>
      <c r="O22" s="70" t="s">
        <v>38</v>
      </c>
      <c r="P22" s="70" t="s">
        <v>38</v>
      </c>
      <c r="Q22" s="70" t="s">
        <v>40</v>
      </c>
      <c r="R22" s="13" t="s">
        <v>48</v>
      </c>
      <c r="T22" s="20"/>
      <c r="U22" s="20"/>
      <c r="V22" s="20"/>
      <c r="W22" s="20"/>
      <c r="X22" s="13"/>
    </row>
    <row r="23">
      <c r="E23" s="33" t="s">
        <v>60</v>
      </c>
      <c r="F23" s="1" t="s">
        <v>61</v>
      </c>
      <c r="H23" s="34"/>
      <c r="I23" s="20"/>
      <c r="J23" s="59"/>
      <c r="K23" s="69" t="s">
        <v>40</v>
      </c>
      <c r="L23" s="69" t="s">
        <v>40</v>
      </c>
      <c r="M23" s="69" t="s">
        <v>38</v>
      </c>
      <c r="N23" s="69" t="s">
        <v>38</v>
      </c>
      <c r="O23" s="69" t="s">
        <v>40</v>
      </c>
      <c r="P23" s="69" t="s">
        <v>40</v>
      </c>
      <c r="Q23" s="69" t="s">
        <v>39</v>
      </c>
      <c r="R23" s="13" t="s">
        <v>84</v>
      </c>
      <c r="T23" s="20"/>
      <c r="U23" s="20"/>
      <c r="V23" s="20"/>
      <c r="W23" s="20"/>
      <c r="X23" s="13"/>
    </row>
    <row r="24">
      <c r="E24" s="33" t="s">
        <v>44</v>
      </c>
      <c r="F24" s="1" t="s">
        <v>62</v>
      </c>
      <c r="H24" s="34"/>
      <c r="I24" s="20"/>
      <c r="J24" s="55"/>
      <c r="K24" s="22"/>
      <c r="L24" s="22"/>
      <c r="M24" s="22"/>
      <c r="N24" s="22"/>
      <c r="O24" s="21" t="s">
        <v>44</v>
      </c>
      <c r="P24" s="21" t="s">
        <v>44</v>
      </c>
      <c r="Q24" s="21" t="s">
        <v>44</v>
      </c>
      <c r="R24" s="13" t="s">
        <v>73</v>
      </c>
      <c r="S24" s="81"/>
      <c r="T24" s="82"/>
      <c r="U24" s="20"/>
      <c r="V24" s="20"/>
      <c r="W24" s="20"/>
      <c r="X24" s="13"/>
    </row>
    <row r="25">
      <c r="E25" s="33" t="s">
        <v>63</v>
      </c>
      <c r="F25" s="1" t="s">
        <v>64</v>
      </c>
      <c r="H25" s="34"/>
      <c r="K25" s="24">
        <f t="shared" ref="K25:Q25" si="9">COUNTIF(K19:K23,"D")</f>
        <v>1</v>
      </c>
      <c r="L25" s="24">
        <f t="shared" si="9"/>
        <v>1</v>
      </c>
      <c r="M25" s="24">
        <f t="shared" si="9"/>
        <v>1</v>
      </c>
      <c r="N25" s="24">
        <f t="shared" si="9"/>
        <v>1</v>
      </c>
      <c r="O25" s="24">
        <f t="shared" si="9"/>
        <v>1</v>
      </c>
      <c r="P25" s="24">
        <f t="shared" si="9"/>
        <v>1</v>
      </c>
      <c r="Q25" s="24">
        <f t="shared" si="9"/>
        <v>1</v>
      </c>
    </row>
    <row r="26">
      <c r="E26" s="33" t="s">
        <v>65</v>
      </c>
      <c r="F26" s="1" t="s">
        <v>66</v>
      </c>
      <c r="H26" s="34"/>
      <c r="K26" s="27">
        <f t="shared" ref="K26:Q26" si="10">COUNTIF(K19:K23,"N")</f>
        <v>1</v>
      </c>
      <c r="L26" s="27">
        <f t="shared" si="10"/>
        <v>1</v>
      </c>
      <c r="M26" s="27">
        <f t="shared" si="10"/>
        <v>1</v>
      </c>
      <c r="N26" s="27">
        <f t="shared" si="10"/>
        <v>1</v>
      </c>
      <c r="O26" s="27">
        <f t="shared" si="10"/>
        <v>1</v>
      </c>
      <c r="P26" s="27">
        <f t="shared" si="10"/>
        <v>1</v>
      </c>
      <c r="Q26" s="27">
        <f t="shared" si="10"/>
        <v>1</v>
      </c>
    </row>
    <row r="27">
      <c r="E27" s="33" t="s">
        <v>46</v>
      </c>
      <c r="F27" s="1" t="s">
        <v>67</v>
      </c>
      <c r="H27" s="34"/>
    </row>
    <row r="28">
      <c r="E28" s="35" t="s">
        <v>68</v>
      </c>
      <c r="F28" s="36" t="s">
        <v>69</v>
      </c>
      <c r="G28" s="8"/>
      <c r="H28" s="37"/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14">
    <mergeCell ref="F22:H22"/>
    <mergeCell ref="F23:H23"/>
    <mergeCell ref="F24:H24"/>
    <mergeCell ref="F25:H25"/>
    <mergeCell ref="F26:H26"/>
    <mergeCell ref="F27:H27"/>
    <mergeCell ref="F28:H28"/>
    <mergeCell ref="B1:AC3"/>
    <mergeCell ref="E16:H16"/>
    <mergeCell ref="F17:H17"/>
    <mergeCell ref="F18:H18"/>
    <mergeCell ref="F19:H19"/>
    <mergeCell ref="F20:H20"/>
    <mergeCell ref="F21:H21"/>
  </mergeCells>
  <conditionalFormatting sqref="B9:H9 T19:T20 T22:T23 U22:W22">
    <cfRule type="cellIs" dxfId="0" priority="1" operator="equal">
      <formula>"X"</formula>
    </cfRule>
  </conditionalFormatting>
  <conditionalFormatting sqref="B9:H9 T19:T20 T22:T23 U22:W22">
    <cfRule type="cellIs" dxfId="1" priority="2" operator="equal">
      <formula>"D"</formula>
    </cfRule>
  </conditionalFormatting>
  <conditionalFormatting sqref="B9:H9 T19:T20 T22:T23 U22:W22">
    <cfRule type="cellIs" dxfId="2" priority="3" operator="equal">
      <formula>"N"</formula>
    </cfRule>
  </conditionalFormatting>
  <conditionalFormatting sqref="B9:H9 T19:T20 T22:T23 U22:W22">
    <cfRule type="cellIs" dxfId="3" priority="4" operator="equal">
      <formula>"OB"</formula>
    </cfRule>
  </conditionalFormatting>
  <conditionalFormatting sqref="B9:H9 T19:T20 T22:T23 U22:W22">
    <cfRule type="cellIs" dxfId="0" priority="5" operator="equal">
      <formula>"C"</formula>
    </cfRule>
  </conditionalFormatting>
  <conditionalFormatting sqref="B9:H9 T19:T20 T22:T23 U22:W22">
    <cfRule type="cellIs" dxfId="0" priority="6" operator="equal">
      <formula>"AL"</formula>
    </cfRule>
  </conditionalFormatting>
  <conditionalFormatting sqref="B9:H9 T19:T20 T22:T23 U22:W22">
    <cfRule type="cellIs" dxfId="4" priority="7" operator="equal">
      <formula>"UP"</formula>
    </cfRule>
  </conditionalFormatting>
  <conditionalFormatting sqref="B9:H9 T19:T20 T22:T23 U22:W22">
    <cfRule type="cellIs" dxfId="0" priority="8" operator="equal">
      <formula>"S"</formula>
    </cfRule>
  </conditionalFormatting>
  <conditionalFormatting sqref="B9:H9 T19:T20 T22:T23 U22:W22">
    <cfRule type="cellIs" dxfId="5" priority="9" operator="equal">
      <formula>"OC"</formula>
    </cfRule>
  </conditionalFormatting>
  <conditionalFormatting sqref="B9:H9 T19:T20 T22:T23 U22:W22">
    <cfRule type="cellIs" dxfId="6" priority="10" operator="equal">
      <formula>"SPV"</formula>
    </cfRule>
  </conditionalFormatting>
  <conditionalFormatting sqref="B9:H9 T19:T20 T22:T23 U22:W22">
    <cfRule type="cellIs" dxfId="7" priority="11" operator="equal">
      <formula>"INT"</formula>
    </cfRule>
  </conditionalFormatting>
  <conditionalFormatting sqref="B9:H9 T19:T20 T22:T23 U22:W22">
    <cfRule type="cellIs" dxfId="8" priority="12" operator="equal">
      <formula>"T"</formula>
    </cfRule>
  </conditionalFormatting>
  <conditionalFormatting sqref="B7:AC11 E17:E28 K19:P25 Q19:Q23 J20:J24 T20:W21 I22:I24 T23:W24 Q25 B33:H36 G38:J38">
    <cfRule type="cellIs" dxfId="0" priority="13" operator="equal">
      <formula>"X"</formula>
    </cfRule>
  </conditionalFormatting>
  <conditionalFormatting sqref="B7:AC11 E17:E28 K19:P25 Q19:Q23 J20:J24 T20:W21 I22:I24 T23:W24 Q25 B33:H36 G38:J38">
    <cfRule type="cellIs" dxfId="1" priority="14" operator="equal">
      <formula>"D"</formula>
    </cfRule>
  </conditionalFormatting>
  <conditionalFormatting sqref="B7:AC11 E17:E28 K19:P25 Q19:Q23 J20:J24 T20:W21 I22:I24 T23:W24 Q25 B33:H36 G38:J38">
    <cfRule type="cellIs" dxfId="2" priority="15" operator="equal">
      <formula>"N"</formula>
    </cfRule>
  </conditionalFormatting>
  <conditionalFormatting sqref="B7:AC11 E17:E28 K19:P25 Q19:Q23 J20:J24 T20:W21 I22:I24 T23:W24 Q25 B33:H36 G38:J38">
    <cfRule type="cellIs" dxfId="3" priority="16" operator="equal">
      <formula>"OB"</formula>
    </cfRule>
  </conditionalFormatting>
  <conditionalFormatting sqref="B7:AC11 E17:E28 K19:P25 Q19:Q23 J20:J24 T20:W21 I22:I24 T23:W24 Q25 B33:H36 G38:J38">
    <cfRule type="cellIs" dxfId="0" priority="17" operator="equal">
      <formula>"C"</formula>
    </cfRule>
  </conditionalFormatting>
  <conditionalFormatting sqref="B7:AC11 E17:E28 K19:P25 Q19:Q23 J20:J24 T20:W21 I22:I24 T23:W24 Q25 B33:H36 G38:J38">
    <cfRule type="cellIs" dxfId="0" priority="18" operator="equal">
      <formula>"AL"</formula>
    </cfRule>
  </conditionalFormatting>
  <conditionalFormatting sqref="B7:AC11 E17:E28 K19:P25 Q19:Q23 J20:J24 T20:W21 I22:I24 T23:W24 Q25 B33:H36 G38:J38">
    <cfRule type="cellIs" dxfId="4" priority="19" operator="equal">
      <formula>"UP"</formula>
    </cfRule>
  </conditionalFormatting>
  <conditionalFormatting sqref="B7:AC11 E17:E28 K19:P25 Q19:Q23 J20:J24 T20:W21 I22:I24 T23:W24 Q25 B33:H36 G38:J38">
    <cfRule type="cellIs" dxfId="0" priority="20" operator="equal">
      <formula>"S"</formula>
    </cfRule>
  </conditionalFormatting>
  <conditionalFormatting sqref="B7:AC11 E17:E28 K19:P25 Q19:Q23 J20:J24 T20:W21 I22:I24 T23:W24 Q25 B33:H36 G38:J38">
    <cfRule type="cellIs" dxfId="5" priority="21" operator="equal">
      <formula>"OC"</formula>
    </cfRule>
  </conditionalFormatting>
  <conditionalFormatting sqref="B7:AC11 E17:E28 K19:P25 Q19:Q23 J20:J24 T20:W21 I22:I24 T23:W24 Q25 B33:H36 G38:J38">
    <cfRule type="cellIs" dxfId="6" priority="22" operator="equal">
      <formula>"SPV"</formula>
    </cfRule>
  </conditionalFormatting>
  <conditionalFormatting sqref="B7:AC11 E17:E28 K19:P25 Q19:Q23 J20:J24 T20:W21 I22:I24 T23:W24 Q25 B33:H36 G38:J38">
    <cfRule type="cellIs" dxfId="7" priority="23" operator="equal">
      <formula>"INT"</formula>
    </cfRule>
  </conditionalFormatting>
  <conditionalFormatting sqref="B7:AC11 K19:P24 Q19:Q23 J20:J24 T20:W21 T23:W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  <col customWidth="1" min="37" max="37" width="6.88"/>
    <col customWidth="1" min="38" max="38" width="14.13"/>
  </cols>
  <sheetData>
    <row r="1">
      <c r="A1" s="1" t="s">
        <v>0</v>
      </c>
      <c r="B1" s="2" t="s">
        <v>109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</row>
    <row r="2">
      <c r="B2" s="5"/>
      <c r="AD2" s="4"/>
      <c r="AE2" s="4"/>
      <c r="AF2" s="4"/>
      <c r="AG2" s="4"/>
      <c r="AH2" s="4"/>
      <c r="AI2" s="4"/>
      <c r="AJ2" s="4"/>
      <c r="AK2" s="4"/>
      <c r="AL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</row>
    <row r="4">
      <c r="A4" s="6"/>
      <c r="B4" s="4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43"/>
      <c r="AE4" s="43"/>
      <c r="AF4" s="43"/>
      <c r="AG4" s="11"/>
      <c r="AH4" s="11"/>
      <c r="AI4" s="11"/>
      <c r="AJ4" s="11"/>
      <c r="AK4" s="11"/>
      <c r="AL4" s="11"/>
    </row>
    <row r="5">
      <c r="A5" s="12"/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 t="s">
        <v>28</v>
      </c>
      <c r="J5" s="13" t="s">
        <v>29</v>
      </c>
      <c r="K5" s="13" t="s">
        <v>30</v>
      </c>
      <c r="L5" s="13" t="s">
        <v>31</v>
      </c>
      <c r="M5" s="13" t="s">
        <v>32</v>
      </c>
      <c r="N5" s="13" t="s">
        <v>33</v>
      </c>
      <c r="O5" s="13" t="s">
        <v>34</v>
      </c>
      <c r="P5" s="13" t="s">
        <v>35</v>
      </c>
      <c r="Q5" s="13" t="s">
        <v>36</v>
      </c>
      <c r="R5" s="13" t="s">
        <v>37</v>
      </c>
      <c r="S5" s="13" t="s">
        <v>71</v>
      </c>
      <c r="T5" s="13" t="s">
        <v>75</v>
      </c>
      <c r="U5" s="13" t="s">
        <v>10</v>
      </c>
      <c r="V5" s="13" t="s">
        <v>11</v>
      </c>
      <c r="W5" s="13" t="s">
        <v>12</v>
      </c>
      <c r="X5" s="13" t="s">
        <v>13</v>
      </c>
      <c r="Y5" s="13" t="s">
        <v>14</v>
      </c>
      <c r="Z5" s="13" t="s">
        <v>15</v>
      </c>
      <c r="AA5" s="13" t="s">
        <v>16</v>
      </c>
      <c r="AB5" s="13" t="s">
        <v>17</v>
      </c>
      <c r="AC5" s="13" t="s">
        <v>18</v>
      </c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G6" s="44" t="s">
        <v>38</v>
      </c>
      <c r="AH6" s="45" t="s">
        <v>39</v>
      </c>
      <c r="AI6" s="46" t="s">
        <v>40</v>
      </c>
      <c r="AJ6" s="47" t="s">
        <v>41</v>
      </c>
      <c r="AK6" s="48" t="s">
        <v>42</v>
      </c>
      <c r="AL6" s="54" t="s">
        <v>76</v>
      </c>
    </row>
    <row r="7">
      <c r="A7" s="19" t="s">
        <v>43</v>
      </c>
      <c r="B7" s="69" t="s">
        <v>40</v>
      </c>
      <c r="C7" s="69" t="s">
        <v>40</v>
      </c>
      <c r="D7" s="69" t="s">
        <v>40</v>
      </c>
      <c r="E7" s="69" t="s">
        <v>39</v>
      </c>
      <c r="F7" s="69" t="s">
        <v>39</v>
      </c>
      <c r="G7" s="69" t="s">
        <v>39</v>
      </c>
      <c r="H7" s="69" t="s">
        <v>40</v>
      </c>
      <c r="I7" s="60" t="s">
        <v>40</v>
      </c>
      <c r="J7" s="60" t="s">
        <v>38</v>
      </c>
      <c r="K7" s="60" t="s">
        <v>38</v>
      </c>
      <c r="L7" s="60" t="s">
        <v>40</v>
      </c>
      <c r="M7" s="60" t="s">
        <v>40</v>
      </c>
      <c r="N7" s="61" t="s">
        <v>39</v>
      </c>
      <c r="O7" s="61" t="s">
        <v>39</v>
      </c>
      <c r="P7" s="70" t="s">
        <v>40</v>
      </c>
      <c r="Q7" s="70" t="s">
        <v>40</v>
      </c>
      <c r="R7" s="70" t="s">
        <v>38</v>
      </c>
      <c r="S7" s="70" t="s">
        <v>38</v>
      </c>
      <c r="T7" s="70" t="s">
        <v>40</v>
      </c>
      <c r="U7" s="70" t="s">
        <v>40</v>
      </c>
      <c r="V7" s="70" t="s">
        <v>39</v>
      </c>
      <c r="W7" s="71" t="s">
        <v>39</v>
      </c>
      <c r="X7" s="71" t="s">
        <v>40</v>
      </c>
      <c r="Y7" s="71" t="s">
        <v>38</v>
      </c>
      <c r="Z7" s="71" t="s">
        <v>38</v>
      </c>
      <c r="AA7" s="71" t="s">
        <v>38</v>
      </c>
      <c r="AB7" s="71" t="s">
        <v>40</v>
      </c>
      <c r="AC7" s="71" t="s">
        <v>40</v>
      </c>
      <c r="AG7" s="49">
        <f t="shared" ref="AG7:AG11" si="1">COUNTIF(B7:AC7,"D")</f>
        <v>7</v>
      </c>
      <c r="AH7" s="49">
        <f t="shared" ref="AH7:AH11" si="2">COUNTIF(B7:AC7,"N")</f>
        <v>7</v>
      </c>
      <c r="AI7" s="49">
        <f t="shared" ref="AI7:AI11" si="3">COUNTIF(B7:AC7,"X")</f>
        <v>14</v>
      </c>
      <c r="AJ7" s="49">
        <f t="shared" ref="AJ7:AJ11" si="4">COUNTIF(B7:AC7,"INT")</f>
        <v>0</v>
      </c>
      <c r="AK7" s="49">
        <f t="shared" ref="AK7:AK11" si="5">SUM(AG7+AH7+AJ7)</f>
        <v>14</v>
      </c>
      <c r="AL7" s="49">
        <f t="shared" ref="AL7:AL11" si="6">((AG7*12)+(AH7*12)+(AJ7*8))/4</f>
        <v>42</v>
      </c>
    </row>
    <row r="8">
      <c r="A8" s="13" t="s">
        <v>45</v>
      </c>
      <c r="B8" s="69" t="s">
        <v>40</v>
      </c>
      <c r="C8" s="69" t="s">
        <v>38</v>
      </c>
      <c r="D8" s="69" t="s">
        <v>38</v>
      </c>
      <c r="E8" s="69" t="s">
        <v>40</v>
      </c>
      <c r="F8" s="69" t="s">
        <v>40</v>
      </c>
      <c r="G8" s="69" t="s">
        <v>65</v>
      </c>
      <c r="H8" s="69" t="s">
        <v>65</v>
      </c>
      <c r="I8" s="69" t="s">
        <v>65</v>
      </c>
      <c r="J8" s="69" t="s">
        <v>39</v>
      </c>
      <c r="K8" s="69" t="s">
        <v>39</v>
      </c>
      <c r="L8" s="69" t="s">
        <v>40</v>
      </c>
      <c r="M8" s="69" t="s">
        <v>40</v>
      </c>
      <c r="N8" s="69" t="s">
        <v>38</v>
      </c>
      <c r="O8" s="69" t="s">
        <v>38</v>
      </c>
      <c r="P8" s="60" t="s">
        <v>40</v>
      </c>
      <c r="Q8" s="60" t="s">
        <v>40</v>
      </c>
      <c r="R8" s="60" t="s">
        <v>39</v>
      </c>
      <c r="S8" s="60" t="s">
        <v>39</v>
      </c>
      <c r="T8" s="60" t="s">
        <v>40</v>
      </c>
      <c r="U8" s="61" t="s">
        <v>40</v>
      </c>
      <c r="V8" s="61" t="s">
        <v>38</v>
      </c>
      <c r="W8" s="70" t="s">
        <v>38</v>
      </c>
      <c r="X8" s="70" t="s">
        <v>39</v>
      </c>
      <c r="Y8" s="70" t="s">
        <v>39</v>
      </c>
      <c r="Z8" s="70" t="s">
        <v>39</v>
      </c>
      <c r="AA8" s="70" t="s">
        <v>40</v>
      </c>
      <c r="AB8" s="70" t="s">
        <v>38</v>
      </c>
      <c r="AC8" s="70" t="s">
        <v>38</v>
      </c>
      <c r="AG8" s="49">
        <f t="shared" si="1"/>
        <v>8</v>
      </c>
      <c r="AH8" s="49">
        <f t="shared" si="2"/>
        <v>7</v>
      </c>
      <c r="AI8" s="49">
        <f t="shared" si="3"/>
        <v>10</v>
      </c>
      <c r="AJ8" s="49">
        <f t="shared" si="4"/>
        <v>0</v>
      </c>
      <c r="AK8" s="49">
        <f t="shared" si="5"/>
        <v>15</v>
      </c>
      <c r="AL8" s="49">
        <f t="shared" si="6"/>
        <v>45</v>
      </c>
    </row>
    <row r="9">
      <c r="A9" s="13" t="s">
        <v>73</v>
      </c>
      <c r="B9" s="60" t="s">
        <v>44</v>
      </c>
      <c r="C9" s="60" t="s">
        <v>44</v>
      </c>
      <c r="D9" s="60" t="s">
        <v>40</v>
      </c>
      <c r="E9" s="60" t="s">
        <v>40</v>
      </c>
      <c r="F9" s="60" t="s">
        <v>38</v>
      </c>
      <c r="G9" s="61" t="s">
        <v>38</v>
      </c>
      <c r="H9" s="61" t="s">
        <v>39</v>
      </c>
      <c r="I9" s="70" t="s">
        <v>39</v>
      </c>
      <c r="J9" s="70" t="s">
        <v>40</v>
      </c>
      <c r="K9" s="70" t="s">
        <v>40</v>
      </c>
      <c r="L9" s="70" t="s">
        <v>38</v>
      </c>
      <c r="M9" s="70" t="s">
        <v>38</v>
      </c>
      <c r="N9" s="70" t="s">
        <v>40</v>
      </c>
      <c r="O9" s="70" t="s">
        <v>40</v>
      </c>
      <c r="P9" s="70" t="s">
        <v>39</v>
      </c>
      <c r="Q9" s="70" t="s">
        <v>39</v>
      </c>
      <c r="R9" s="70" t="s">
        <v>40</v>
      </c>
      <c r="S9" s="70" t="s">
        <v>40</v>
      </c>
      <c r="T9" s="70" t="s">
        <v>38</v>
      </c>
      <c r="U9" s="70" t="s">
        <v>38</v>
      </c>
      <c r="V9" s="70" t="s">
        <v>40</v>
      </c>
      <c r="W9" s="60" t="s">
        <v>40</v>
      </c>
      <c r="X9" s="60" t="s">
        <v>38</v>
      </c>
      <c r="Y9" s="60" t="s">
        <v>40</v>
      </c>
      <c r="Z9" s="60" t="s">
        <v>40</v>
      </c>
      <c r="AA9" s="60" t="s">
        <v>39</v>
      </c>
      <c r="AB9" s="61" t="s">
        <v>39</v>
      </c>
      <c r="AC9" s="61" t="s">
        <v>39</v>
      </c>
      <c r="AG9" s="49">
        <f t="shared" si="1"/>
        <v>7</v>
      </c>
      <c r="AH9" s="49">
        <f t="shared" si="2"/>
        <v>7</v>
      </c>
      <c r="AI9" s="49">
        <f t="shared" si="3"/>
        <v>12</v>
      </c>
      <c r="AJ9" s="49">
        <f t="shared" si="4"/>
        <v>0</v>
      </c>
      <c r="AK9" s="49">
        <f t="shared" si="5"/>
        <v>14</v>
      </c>
      <c r="AL9" s="49">
        <f t="shared" si="6"/>
        <v>42</v>
      </c>
    </row>
    <row r="10">
      <c r="A10" s="13" t="s">
        <v>48</v>
      </c>
      <c r="B10" s="69" t="s">
        <v>38</v>
      </c>
      <c r="C10" s="69" t="s">
        <v>39</v>
      </c>
      <c r="D10" s="69" t="s">
        <v>39</v>
      </c>
      <c r="E10" s="69" t="s">
        <v>40</v>
      </c>
      <c r="F10" s="69" t="s">
        <v>40</v>
      </c>
      <c r="G10" s="69" t="s">
        <v>40</v>
      </c>
      <c r="H10" s="69" t="s">
        <v>38</v>
      </c>
      <c r="I10" s="69" t="s">
        <v>38</v>
      </c>
      <c r="J10" s="69" t="s">
        <v>40</v>
      </c>
      <c r="K10" s="69" t="s">
        <v>40</v>
      </c>
      <c r="L10" s="69" t="s">
        <v>39</v>
      </c>
      <c r="M10" s="69" t="s">
        <v>39</v>
      </c>
      <c r="N10" s="69" t="s">
        <v>40</v>
      </c>
      <c r="O10" s="69" t="s">
        <v>40</v>
      </c>
      <c r="P10" s="69" t="s">
        <v>38</v>
      </c>
      <c r="Q10" s="69" t="s">
        <v>38</v>
      </c>
      <c r="R10" s="69" t="s">
        <v>40</v>
      </c>
      <c r="S10" s="69" t="s">
        <v>40</v>
      </c>
      <c r="T10" s="69" t="s">
        <v>39</v>
      </c>
      <c r="U10" s="69" t="s">
        <v>39</v>
      </c>
      <c r="V10" s="69" t="s">
        <v>40</v>
      </c>
      <c r="W10" s="70" t="s">
        <v>44</v>
      </c>
      <c r="X10" s="70" t="s">
        <v>44</v>
      </c>
      <c r="Y10" s="70" t="s">
        <v>44</v>
      </c>
      <c r="Z10" s="70" t="s">
        <v>44</v>
      </c>
      <c r="AA10" s="70" t="s">
        <v>44</v>
      </c>
      <c r="AB10" s="70" t="s">
        <v>40</v>
      </c>
      <c r="AC10" s="70" t="s">
        <v>40</v>
      </c>
      <c r="AG10" s="49">
        <f t="shared" si="1"/>
        <v>5</v>
      </c>
      <c r="AH10" s="49">
        <f t="shared" si="2"/>
        <v>6</v>
      </c>
      <c r="AI10" s="49">
        <f t="shared" si="3"/>
        <v>12</v>
      </c>
      <c r="AJ10" s="49">
        <f t="shared" si="4"/>
        <v>0</v>
      </c>
      <c r="AK10" s="49">
        <f t="shared" si="5"/>
        <v>11</v>
      </c>
      <c r="AL10" s="49">
        <f t="shared" si="6"/>
        <v>33</v>
      </c>
    </row>
    <row r="11">
      <c r="A11" s="13" t="s">
        <v>84</v>
      </c>
      <c r="B11" s="60" t="s">
        <v>39</v>
      </c>
      <c r="C11" s="60" t="s">
        <v>40</v>
      </c>
      <c r="D11" s="60" t="s">
        <v>40</v>
      </c>
      <c r="E11" s="60" t="s">
        <v>38</v>
      </c>
      <c r="F11" s="60"/>
      <c r="G11" s="61"/>
      <c r="H11" s="61"/>
      <c r="I11" s="69"/>
      <c r="J11" s="69"/>
      <c r="K11" s="69"/>
      <c r="L11" s="69"/>
      <c r="M11" s="69"/>
      <c r="N11" s="69"/>
      <c r="O11" s="69"/>
      <c r="P11" s="70"/>
      <c r="Q11" s="70"/>
      <c r="R11" s="70"/>
      <c r="S11" s="70"/>
      <c r="T11" s="70"/>
      <c r="U11" s="70"/>
      <c r="V11" s="70"/>
      <c r="W11" s="69"/>
      <c r="X11" s="69"/>
      <c r="Y11" s="69"/>
      <c r="Z11" s="69"/>
      <c r="AA11" s="69"/>
      <c r="AB11" s="69"/>
      <c r="AC11" s="69"/>
      <c r="AG11" s="49">
        <f t="shared" si="1"/>
        <v>1</v>
      </c>
      <c r="AH11" s="49">
        <f t="shared" si="2"/>
        <v>1</v>
      </c>
      <c r="AI11" s="49">
        <f t="shared" si="3"/>
        <v>2</v>
      </c>
      <c r="AJ11" s="49">
        <f t="shared" si="4"/>
        <v>0</v>
      </c>
      <c r="AK11" s="49">
        <f t="shared" si="5"/>
        <v>2</v>
      </c>
      <c r="AL11" s="49">
        <f t="shared" si="6"/>
        <v>6</v>
      </c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 t="s">
        <v>49</v>
      </c>
      <c r="B13" s="24">
        <f t="shared" ref="B13:AC13" si="7">COUNTIF(B7:B11,"D")</f>
        <v>1</v>
      </c>
      <c r="C13" s="24">
        <f t="shared" si="7"/>
        <v>1</v>
      </c>
      <c r="D13" s="24">
        <f t="shared" si="7"/>
        <v>1</v>
      </c>
      <c r="E13" s="24">
        <f t="shared" si="7"/>
        <v>1</v>
      </c>
      <c r="F13" s="24">
        <f t="shared" si="7"/>
        <v>1</v>
      </c>
      <c r="G13" s="24">
        <f t="shared" si="7"/>
        <v>1</v>
      </c>
      <c r="H13" s="24">
        <f t="shared" si="7"/>
        <v>1</v>
      </c>
      <c r="I13" s="24">
        <f t="shared" si="7"/>
        <v>1</v>
      </c>
      <c r="J13" s="24">
        <f t="shared" si="7"/>
        <v>1</v>
      </c>
      <c r="K13" s="24">
        <f t="shared" si="7"/>
        <v>1</v>
      </c>
      <c r="L13" s="24">
        <f t="shared" si="7"/>
        <v>1</v>
      </c>
      <c r="M13" s="24">
        <f t="shared" si="7"/>
        <v>1</v>
      </c>
      <c r="N13" s="24">
        <f t="shared" si="7"/>
        <v>1</v>
      </c>
      <c r="O13" s="24">
        <f t="shared" si="7"/>
        <v>1</v>
      </c>
      <c r="P13" s="24">
        <f t="shared" si="7"/>
        <v>1</v>
      </c>
      <c r="Q13" s="24">
        <f t="shared" si="7"/>
        <v>1</v>
      </c>
      <c r="R13" s="24">
        <f t="shared" si="7"/>
        <v>1</v>
      </c>
      <c r="S13" s="24">
        <f t="shared" si="7"/>
        <v>1</v>
      </c>
      <c r="T13" s="24">
        <f t="shared" si="7"/>
        <v>1</v>
      </c>
      <c r="U13" s="24">
        <f t="shared" si="7"/>
        <v>1</v>
      </c>
      <c r="V13" s="24">
        <f t="shared" si="7"/>
        <v>1</v>
      </c>
      <c r="W13" s="24">
        <f t="shared" si="7"/>
        <v>1</v>
      </c>
      <c r="X13" s="24">
        <f t="shared" si="7"/>
        <v>1</v>
      </c>
      <c r="Y13" s="24">
        <f t="shared" si="7"/>
        <v>1</v>
      </c>
      <c r="Z13" s="24">
        <f t="shared" si="7"/>
        <v>1</v>
      </c>
      <c r="AA13" s="24">
        <f t="shared" si="7"/>
        <v>1</v>
      </c>
      <c r="AB13" s="24">
        <f t="shared" si="7"/>
        <v>1</v>
      </c>
      <c r="AC13" s="24">
        <f t="shared" si="7"/>
        <v>1</v>
      </c>
      <c r="AD13" s="25"/>
      <c r="AE13" s="25"/>
      <c r="AF13" s="25"/>
    </row>
    <row r="14">
      <c r="A14" s="26" t="s">
        <v>50</v>
      </c>
      <c r="B14" s="27">
        <f t="shared" ref="B14:AC14" si="8">COUNTIF(B7:B11,"N")</f>
        <v>1</v>
      </c>
      <c r="C14" s="27">
        <f t="shared" si="8"/>
        <v>1</v>
      </c>
      <c r="D14" s="27">
        <f t="shared" si="8"/>
        <v>1</v>
      </c>
      <c r="E14" s="27">
        <f t="shared" si="8"/>
        <v>1</v>
      </c>
      <c r="F14" s="27">
        <f t="shared" si="8"/>
        <v>1</v>
      </c>
      <c r="G14" s="27">
        <f t="shared" si="8"/>
        <v>1</v>
      </c>
      <c r="H14" s="27">
        <f t="shared" si="8"/>
        <v>1</v>
      </c>
      <c r="I14" s="27">
        <f t="shared" si="8"/>
        <v>1</v>
      </c>
      <c r="J14" s="27">
        <f t="shared" si="8"/>
        <v>1</v>
      </c>
      <c r="K14" s="27">
        <f t="shared" si="8"/>
        <v>1</v>
      </c>
      <c r="L14" s="27">
        <f t="shared" si="8"/>
        <v>1</v>
      </c>
      <c r="M14" s="27">
        <f t="shared" si="8"/>
        <v>1</v>
      </c>
      <c r="N14" s="27">
        <f t="shared" si="8"/>
        <v>1</v>
      </c>
      <c r="O14" s="27">
        <f t="shared" si="8"/>
        <v>1</v>
      </c>
      <c r="P14" s="27">
        <f t="shared" si="8"/>
        <v>1</v>
      </c>
      <c r="Q14" s="27">
        <f t="shared" si="8"/>
        <v>1</v>
      </c>
      <c r="R14" s="27">
        <f t="shared" si="8"/>
        <v>1</v>
      </c>
      <c r="S14" s="27">
        <f t="shared" si="8"/>
        <v>1</v>
      </c>
      <c r="T14" s="27">
        <f t="shared" si="8"/>
        <v>1</v>
      </c>
      <c r="U14" s="27">
        <f t="shared" si="8"/>
        <v>1</v>
      </c>
      <c r="V14" s="27">
        <f t="shared" si="8"/>
        <v>1</v>
      </c>
      <c r="W14" s="27">
        <f t="shared" si="8"/>
        <v>1</v>
      </c>
      <c r="X14" s="27">
        <f t="shared" si="8"/>
        <v>1</v>
      </c>
      <c r="Y14" s="27">
        <f t="shared" si="8"/>
        <v>1</v>
      </c>
      <c r="Z14" s="27">
        <f t="shared" si="8"/>
        <v>1</v>
      </c>
      <c r="AA14" s="27">
        <f t="shared" si="8"/>
        <v>1</v>
      </c>
      <c r="AB14" s="27">
        <f t="shared" si="8"/>
        <v>1</v>
      </c>
      <c r="AC14" s="27">
        <f t="shared" si="8"/>
        <v>1</v>
      </c>
      <c r="AD14" s="25"/>
      <c r="AE14" s="25"/>
      <c r="AF14" s="25"/>
    </row>
    <row r="15">
      <c r="I15" s="28"/>
      <c r="J15" s="28"/>
      <c r="K15" s="28"/>
      <c r="L15" s="28"/>
      <c r="M15" s="28"/>
      <c r="N15" s="28"/>
      <c r="O15" s="28"/>
      <c r="AG15" s="53"/>
      <c r="AH15" s="53"/>
      <c r="AI15" s="53"/>
      <c r="AJ15" s="53"/>
      <c r="AK15" s="53"/>
      <c r="AL15" s="53"/>
    </row>
    <row r="16">
      <c r="E16" s="29" t="s">
        <v>51</v>
      </c>
      <c r="F16" s="30"/>
      <c r="G16" s="30"/>
      <c r="H16" s="31"/>
      <c r="I16" s="32"/>
      <c r="J16" s="28"/>
      <c r="K16" s="9" t="s">
        <v>2</v>
      </c>
      <c r="L16" s="9" t="s">
        <v>3</v>
      </c>
      <c r="M16" s="9" t="s">
        <v>4</v>
      </c>
      <c r="N16" s="9" t="s">
        <v>5</v>
      </c>
      <c r="O16" s="9" t="s">
        <v>6</v>
      </c>
      <c r="P16" s="9" t="s">
        <v>7</v>
      </c>
      <c r="Q16" s="9" t="s">
        <v>8</v>
      </c>
      <c r="AF16" s="22"/>
      <c r="AG16" s="22"/>
      <c r="AH16" s="22"/>
      <c r="AI16" s="22"/>
      <c r="AJ16" s="22"/>
      <c r="AK16" s="22"/>
      <c r="AL16" s="22"/>
    </row>
    <row r="17">
      <c r="E17" s="33" t="s">
        <v>38</v>
      </c>
      <c r="F17" s="1" t="s">
        <v>52</v>
      </c>
      <c r="H17" s="34"/>
      <c r="I17" s="28"/>
      <c r="J17" s="11"/>
      <c r="K17" s="13" t="s">
        <v>14</v>
      </c>
      <c r="L17" s="13" t="s">
        <v>15</v>
      </c>
      <c r="M17" s="13" t="s">
        <v>16</v>
      </c>
      <c r="N17" s="13" t="s">
        <v>17</v>
      </c>
      <c r="O17" s="13" t="s">
        <v>18</v>
      </c>
      <c r="P17" s="13" t="s">
        <v>19</v>
      </c>
      <c r="Q17" s="13" t="s">
        <v>20</v>
      </c>
      <c r="R17" s="11"/>
      <c r="S17" s="11"/>
      <c r="T17" s="11"/>
      <c r="U17" s="11"/>
      <c r="V17" s="11"/>
      <c r="W17" s="11"/>
      <c r="AF17" s="22"/>
      <c r="AG17" s="22"/>
      <c r="AH17" s="22"/>
      <c r="AI17" s="22"/>
      <c r="AJ17" s="22"/>
      <c r="AK17" s="22"/>
      <c r="AL17" s="22"/>
    </row>
    <row r="18">
      <c r="E18" s="33" t="s">
        <v>39</v>
      </c>
      <c r="F18" s="1" t="s">
        <v>53</v>
      </c>
      <c r="H18" s="34"/>
      <c r="J18" s="13"/>
      <c r="K18" s="68"/>
      <c r="L18" s="68"/>
      <c r="M18" s="68"/>
      <c r="N18" s="68"/>
      <c r="O18" s="68"/>
      <c r="P18" s="68"/>
      <c r="Q18" s="68"/>
      <c r="R18" s="13"/>
      <c r="S18" s="13"/>
      <c r="T18" s="13"/>
      <c r="U18" s="13"/>
      <c r="V18" s="13"/>
      <c r="W18" s="13"/>
      <c r="AF18" s="22"/>
      <c r="AG18" s="22"/>
      <c r="AH18" s="22"/>
      <c r="AI18" s="22"/>
      <c r="AJ18" s="22"/>
      <c r="AK18" s="22"/>
      <c r="AL18" s="22"/>
    </row>
    <row r="19">
      <c r="E19" s="33" t="s">
        <v>41</v>
      </c>
      <c r="F19" s="1" t="s">
        <v>54</v>
      </c>
      <c r="H19" s="34"/>
      <c r="K19" s="71" t="s">
        <v>40</v>
      </c>
      <c r="L19" s="71" t="s">
        <v>40</v>
      </c>
      <c r="M19" s="71" t="s">
        <v>39</v>
      </c>
      <c r="N19" s="71" t="s">
        <v>39</v>
      </c>
      <c r="O19" s="71" t="s">
        <v>40</v>
      </c>
      <c r="P19" s="71" t="s">
        <v>40</v>
      </c>
      <c r="Q19" s="71" t="s">
        <v>38</v>
      </c>
      <c r="R19" s="19" t="s">
        <v>43</v>
      </c>
      <c r="T19" s="20"/>
      <c r="AF19" s="22"/>
      <c r="AG19" s="22"/>
      <c r="AH19" s="22"/>
      <c r="AI19" s="22"/>
      <c r="AJ19" s="22"/>
      <c r="AK19" s="22"/>
      <c r="AL19" s="22"/>
    </row>
    <row r="20">
      <c r="E20" s="33" t="s">
        <v>55</v>
      </c>
      <c r="F20" s="1" t="s">
        <v>56</v>
      </c>
      <c r="H20" s="34"/>
      <c r="K20" s="70" t="s">
        <v>38</v>
      </c>
      <c r="L20" s="70" t="s">
        <v>38</v>
      </c>
      <c r="M20" s="70" t="s">
        <v>40</v>
      </c>
      <c r="N20" s="70" t="s">
        <v>40</v>
      </c>
      <c r="O20" s="70" t="s">
        <v>39</v>
      </c>
      <c r="P20" s="70" t="s">
        <v>39</v>
      </c>
      <c r="Q20" s="70" t="s">
        <v>40</v>
      </c>
      <c r="R20" s="13" t="s">
        <v>45</v>
      </c>
      <c r="T20" s="20"/>
      <c r="U20" s="20"/>
      <c r="V20" s="20"/>
      <c r="W20" s="20"/>
      <c r="X20" s="19"/>
    </row>
    <row r="21">
      <c r="E21" s="33" t="s">
        <v>40</v>
      </c>
      <c r="F21" s="1" t="s">
        <v>57</v>
      </c>
      <c r="H21" s="34"/>
      <c r="J21" s="59"/>
      <c r="K21" s="60"/>
      <c r="L21" s="60"/>
      <c r="M21" s="60"/>
      <c r="N21" s="60"/>
      <c r="O21" s="60"/>
      <c r="P21" s="61"/>
      <c r="Q21" s="61"/>
      <c r="R21" s="13" t="s">
        <v>47</v>
      </c>
      <c r="T21" s="20"/>
      <c r="U21" s="20"/>
      <c r="V21" s="20"/>
      <c r="W21" s="20"/>
      <c r="X21" s="13"/>
    </row>
    <row r="22">
      <c r="E22" s="33" t="s">
        <v>58</v>
      </c>
      <c r="F22" s="1" t="s">
        <v>59</v>
      </c>
      <c r="H22" s="34"/>
      <c r="I22" s="72"/>
      <c r="J22" s="73"/>
      <c r="K22" s="70" t="s">
        <v>39</v>
      </c>
      <c r="L22" s="70" t="s">
        <v>39</v>
      </c>
      <c r="M22" s="70" t="s">
        <v>40</v>
      </c>
      <c r="N22" s="70" t="s">
        <v>40</v>
      </c>
      <c r="O22" s="70" t="s">
        <v>38</v>
      </c>
      <c r="P22" s="70" t="s">
        <v>38</v>
      </c>
      <c r="Q22" s="70" t="s">
        <v>40</v>
      </c>
      <c r="R22" s="13" t="s">
        <v>48</v>
      </c>
      <c r="T22" s="20"/>
      <c r="U22" s="20"/>
      <c r="V22" s="20"/>
      <c r="W22" s="20"/>
      <c r="X22" s="13"/>
    </row>
    <row r="23">
      <c r="E23" s="33" t="s">
        <v>60</v>
      </c>
      <c r="F23" s="1" t="s">
        <v>61</v>
      </c>
      <c r="H23" s="34"/>
      <c r="I23" s="20"/>
      <c r="J23" s="59"/>
      <c r="K23" s="69" t="s">
        <v>40</v>
      </c>
      <c r="L23" s="69" t="s">
        <v>40</v>
      </c>
      <c r="M23" s="69" t="s">
        <v>38</v>
      </c>
      <c r="N23" s="69" t="s">
        <v>38</v>
      </c>
      <c r="O23" s="69" t="s">
        <v>40</v>
      </c>
      <c r="P23" s="69" t="s">
        <v>40</v>
      </c>
      <c r="Q23" s="69" t="s">
        <v>39</v>
      </c>
      <c r="R23" s="13" t="s">
        <v>84</v>
      </c>
      <c r="T23" s="20"/>
      <c r="U23" s="20"/>
      <c r="V23" s="20"/>
      <c r="W23" s="20"/>
      <c r="X23" s="13"/>
    </row>
    <row r="24">
      <c r="E24" s="33" t="s">
        <v>44</v>
      </c>
      <c r="F24" s="1" t="s">
        <v>62</v>
      </c>
      <c r="H24" s="34"/>
      <c r="I24" s="20"/>
      <c r="J24" s="55"/>
      <c r="K24" s="22"/>
      <c r="L24" s="22"/>
      <c r="M24" s="22"/>
      <c r="N24" s="22"/>
      <c r="O24" s="21" t="s">
        <v>44</v>
      </c>
      <c r="P24" s="21" t="s">
        <v>44</v>
      </c>
      <c r="Q24" s="21" t="s">
        <v>44</v>
      </c>
      <c r="R24" s="13" t="s">
        <v>73</v>
      </c>
      <c r="S24" s="81"/>
      <c r="T24" s="82"/>
      <c r="U24" s="20"/>
      <c r="V24" s="20"/>
      <c r="W24" s="20"/>
      <c r="X24" s="13"/>
    </row>
    <row r="25">
      <c r="E25" s="33" t="s">
        <v>63</v>
      </c>
      <c r="F25" s="1" t="s">
        <v>64</v>
      </c>
      <c r="H25" s="34"/>
      <c r="K25" s="24">
        <f t="shared" ref="K25:Q25" si="9">COUNTIF(K19:K23,"D")</f>
        <v>1</v>
      </c>
      <c r="L25" s="24">
        <f t="shared" si="9"/>
        <v>1</v>
      </c>
      <c r="M25" s="24">
        <f t="shared" si="9"/>
        <v>1</v>
      </c>
      <c r="N25" s="24">
        <f t="shared" si="9"/>
        <v>1</v>
      </c>
      <c r="O25" s="24">
        <f t="shared" si="9"/>
        <v>1</v>
      </c>
      <c r="P25" s="24">
        <f t="shared" si="9"/>
        <v>1</v>
      </c>
      <c r="Q25" s="24">
        <f t="shared" si="9"/>
        <v>1</v>
      </c>
    </row>
    <row r="26">
      <c r="E26" s="33" t="s">
        <v>65</v>
      </c>
      <c r="F26" s="1" t="s">
        <v>66</v>
      </c>
      <c r="H26" s="34"/>
      <c r="K26" s="27">
        <f t="shared" ref="K26:Q26" si="10">COUNTIF(K19:K23,"N")</f>
        <v>1</v>
      </c>
      <c r="L26" s="27">
        <f t="shared" si="10"/>
        <v>1</v>
      </c>
      <c r="M26" s="27">
        <f t="shared" si="10"/>
        <v>1</v>
      </c>
      <c r="N26" s="27">
        <f t="shared" si="10"/>
        <v>1</v>
      </c>
      <c r="O26" s="27">
        <f t="shared" si="10"/>
        <v>1</v>
      </c>
      <c r="P26" s="27">
        <f t="shared" si="10"/>
        <v>1</v>
      </c>
      <c r="Q26" s="27">
        <f t="shared" si="10"/>
        <v>1</v>
      </c>
    </row>
    <row r="27">
      <c r="E27" s="33" t="s">
        <v>46</v>
      </c>
      <c r="F27" s="1" t="s">
        <v>67</v>
      </c>
      <c r="H27" s="34"/>
    </row>
    <row r="28">
      <c r="E28" s="35" t="s">
        <v>68</v>
      </c>
      <c r="F28" s="36" t="s">
        <v>69</v>
      </c>
      <c r="G28" s="8"/>
      <c r="H28" s="37"/>
    </row>
    <row r="31">
      <c r="A31" s="6"/>
      <c r="B31" s="11"/>
      <c r="C31" s="11"/>
      <c r="D31" s="11"/>
      <c r="E31" s="11"/>
      <c r="F31" s="11"/>
      <c r="G31" s="11"/>
      <c r="H31" s="11"/>
    </row>
    <row r="32">
      <c r="A32" s="12"/>
      <c r="B32" s="13"/>
      <c r="C32" s="13"/>
      <c r="D32" s="13"/>
      <c r="E32" s="13"/>
      <c r="F32" s="13"/>
      <c r="G32" s="13"/>
      <c r="H32" s="13"/>
    </row>
    <row r="33">
      <c r="A33" s="39"/>
      <c r="B33" s="20"/>
      <c r="C33" s="20"/>
      <c r="D33" s="20"/>
      <c r="E33" s="20"/>
      <c r="F33" s="20"/>
      <c r="G33" s="20"/>
      <c r="H33" s="20"/>
    </row>
    <row r="34">
      <c r="A34" s="13"/>
      <c r="B34" s="20"/>
      <c r="C34" s="20"/>
      <c r="D34" s="20"/>
      <c r="E34" s="20"/>
      <c r="F34" s="20"/>
      <c r="G34" s="20"/>
      <c r="H34" s="20"/>
    </row>
    <row r="35">
      <c r="A35" s="13"/>
      <c r="B35" s="20"/>
      <c r="C35" s="20"/>
      <c r="D35" s="20"/>
      <c r="E35" s="66"/>
      <c r="F35" s="66"/>
      <c r="G35" s="67"/>
      <c r="H35" s="67"/>
    </row>
    <row r="36">
      <c r="A36" s="13"/>
      <c r="B36" s="20"/>
      <c r="C36" s="20"/>
      <c r="D36" s="20"/>
      <c r="E36" s="20"/>
      <c r="F36" s="20"/>
      <c r="G36" s="20"/>
      <c r="H36" s="20"/>
    </row>
  </sheetData>
  <mergeCells count="14">
    <mergeCell ref="F22:H22"/>
    <mergeCell ref="F23:H23"/>
    <mergeCell ref="F24:H24"/>
    <mergeCell ref="F25:H25"/>
    <mergeCell ref="F26:H26"/>
    <mergeCell ref="F27:H27"/>
    <mergeCell ref="F28:H28"/>
    <mergeCell ref="B1:AC3"/>
    <mergeCell ref="E16:H16"/>
    <mergeCell ref="F17:H17"/>
    <mergeCell ref="F18:H18"/>
    <mergeCell ref="F19:H19"/>
    <mergeCell ref="F20:H20"/>
    <mergeCell ref="F21:H21"/>
  </mergeCells>
  <conditionalFormatting sqref="B9:H9 T19:T20 T22:T23 U22:W22">
    <cfRule type="cellIs" dxfId="0" priority="1" operator="equal">
      <formula>"X"</formula>
    </cfRule>
  </conditionalFormatting>
  <conditionalFormatting sqref="B9:H9 T19:T20 T22:T23 U22:W22">
    <cfRule type="cellIs" dxfId="1" priority="2" operator="equal">
      <formula>"D"</formula>
    </cfRule>
  </conditionalFormatting>
  <conditionalFormatting sqref="B9:H9 T19:T20 T22:T23 U22:W22">
    <cfRule type="cellIs" dxfId="2" priority="3" operator="equal">
      <formula>"N"</formula>
    </cfRule>
  </conditionalFormatting>
  <conditionalFormatting sqref="B9:H9 T19:T20 T22:T23 U22:W22">
    <cfRule type="cellIs" dxfId="3" priority="4" operator="equal">
      <formula>"OB"</formula>
    </cfRule>
  </conditionalFormatting>
  <conditionalFormatting sqref="B9:H9 T19:T20 T22:T23 U22:W22">
    <cfRule type="cellIs" dxfId="0" priority="5" operator="equal">
      <formula>"C"</formula>
    </cfRule>
  </conditionalFormatting>
  <conditionalFormatting sqref="B9:H9 T19:T20 T22:T23 U22:W22">
    <cfRule type="cellIs" dxfId="0" priority="6" operator="equal">
      <formula>"AL"</formula>
    </cfRule>
  </conditionalFormatting>
  <conditionalFormatting sqref="B9:H9 T19:T20 T22:T23 U22:W22">
    <cfRule type="cellIs" dxfId="4" priority="7" operator="equal">
      <formula>"UP"</formula>
    </cfRule>
  </conditionalFormatting>
  <conditionalFormatting sqref="B9:H9 T19:T20 T22:T23 U22:W22">
    <cfRule type="cellIs" dxfId="0" priority="8" operator="equal">
      <formula>"S"</formula>
    </cfRule>
  </conditionalFormatting>
  <conditionalFormatting sqref="B9:H9 T19:T20 T22:T23 U22:W22">
    <cfRule type="cellIs" dxfId="5" priority="9" operator="equal">
      <formula>"OC"</formula>
    </cfRule>
  </conditionalFormatting>
  <conditionalFormatting sqref="B9:H9 T19:T20 T22:T23 U22:W22">
    <cfRule type="cellIs" dxfId="6" priority="10" operator="equal">
      <formula>"SPV"</formula>
    </cfRule>
  </conditionalFormatting>
  <conditionalFormatting sqref="B9:H9 T19:T20 T22:T23 U22:W22">
    <cfRule type="cellIs" dxfId="7" priority="11" operator="equal">
      <formula>"INT"</formula>
    </cfRule>
  </conditionalFormatting>
  <conditionalFormatting sqref="B9:H9 T19:T20 T22:T23 U22:W22">
    <cfRule type="cellIs" dxfId="8" priority="12" operator="equal">
      <formula>"T"</formula>
    </cfRule>
  </conditionalFormatting>
  <conditionalFormatting sqref="B7:AC11 E17:E28 K19:P25 Q19:Q23 J20:J24 T20:W21 I22:I24 T23:W24 Q25 B33:H36 G38:J38">
    <cfRule type="cellIs" dxfId="0" priority="13" operator="equal">
      <formula>"X"</formula>
    </cfRule>
  </conditionalFormatting>
  <conditionalFormatting sqref="B7:AC11 E17:E28 K19:P25 Q19:Q23 J20:J24 T20:W21 I22:I24 T23:W24 Q25 B33:H36 G38:J38">
    <cfRule type="cellIs" dxfId="1" priority="14" operator="equal">
      <formula>"D"</formula>
    </cfRule>
  </conditionalFormatting>
  <conditionalFormatting sqref="B7:AC11 E17:E28 K19:P25 Q19:Q23 J20:J24 T20:W21 I22:I24 T23:W24 Q25 B33:H36 G38:J38">
    <cfRule type="cellIs" dxfId="2" priority="15" operator="equal">
      <formula>"N"</formula>
    </cfRule>
  </conditionalFormatting>
  <conditionalFormatting sqref="B7:AC11 E17:E28 K19:P25 Q19:Q23 J20:J24 T20:W21 I22:I24 T23:W24 Q25 B33:H36 G38:J38">
    <cfRule type="cellIs" dxfId="3" priority="16" operator="equal">
      <formula>"OB"</formula>
    </cfRule>
  </conditionalFormatting>
  <conditionalFormatting sqref="B7:AC11 E17:E28 K19:P25 Q19:Q23 J20:J24 T20:W21 I22:I24 T23:W24 Q25 B33:H36 G38:J38">
    <cfRule type="cellIs" dxfId="0" priority="17" operator="equal">
      <formula>"C"</formula>
    </cfRule>
  </conditionalFormatting>
  <conditionalFormatting sqref="B7:AC11 E17:E28 K19:P25 Q19:Q23 J20:J24 T20:W21 I22:I24 T23:W24 Q25 B33:H36 G38:J38">
    <cfRule type="cellIs" dxfId="0" priority="18" operator="equal">
      <formula>"AL"</formula>
    </cfRule>
  </conditionalFormatting>
  <conditionalFormatting sqref="B7:AC11 E17:E28 K19:P25 Q19:Q23 J20:J24 T20:W21 I22:I24 T23:W24 Q25 B33:H36 G38:J38">
    <cfRule type="cellIs" dxfId="4" priority="19" operator="equal">
      <formula>"UP"</formula>
    </cfRule>
  </conditionalFormatting>
  <conditionalFormatting sqref="B7:AC11 E17:E28 K19:P25 Q19:Q23 J20:J24 T20:W21 I22:I24 T23:W24 Q25 B33:H36 G38:J38">
    <cfRule type="cellIs" dxfId="0" priority="20" operator="equal">
      <formula>"S"</formula>
    </cfRule>
  </conditionalFormatting>
  <conditionalFormatting sqref="B7:AC11 E17:E28 K19:P25 Q19:Q23 J20:J24 T20:W21 I22:I24 T23:W24 Q25 B33:H36 G38:J38">
    <cfRule type="cellIs" dxfId="5" priority="21" operator="equal">
      <formula>"OC"</formula>
    </cfRule>
  </conditionalFormatting>
  <conditionalFormatting sqref="B7:AC11 E17:E28 K19:P25 Q19:Q23 J20:J24 T20:W21 I22:I24 T23:W24 Q25 B33:H36 G38:J38">
    <cfRule type="cellIs" dxfId="6" priority="22" operator="equal">
      <formula>"SPV"</formula>
    </cfRule>
  </conditionalFormatting>
  <conditionalFormatting sqref="B7:AC11 E17:E28 K19:P25 Q19:Q23 J20:J24 T20:W21 I22:I24 T23:W24 Q25 B33:H36 G38:J38">
    <cfRule type="cellIs" dxfId="7" priority="23" operator="equal">
      <formula>"INT"</formula>
    </cfRule>
  </conditionalFormatting>
  <conditionalFormatting sqref="B7:AC11 K19:P24 Q19:Q23 J20:J24 T20:W21 T23:W24">
    <cfRule type="cellIs" dxfId="8" priority="24" operator="equal">
      <formula>"T"</formula>
    </cfRule>
  </conditionalFormatting>
  <conditionalFormatting sqref="E27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110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5</v>
      </c>
      <c r="C4" s="10" t="s">
        <v>6</v>
      </c>
      <c r="D4" s="10" t="s">
        <v>7</v>
      </c>
      <c r="E4" s="10" t="s">
        <v>8</v>
      </c>
      <c r="F4" s="10" t="s">
        <v>2</v>
      </c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  <c r="M4" s="10" t="s">
        <v>2</v>
      </c>
      <c r="N4" s="10" t="s">
        <v>3</v>
      </c>
      <c r="O4" s="10" t="s">
        <v>4</v>
      </c>
      <c r="P4" s="10" t="s">
        <v>5</v>
      </c>
      <c r="Q4" s="10" t="s">
        <v>6</v>
      </c>
      <c r="R4" s="10" t="s">
        <v>7</v>
      </c>
      <c r="S4" s="10" t="s">
        <v>8</v>
      </c>
      <c r="T4" s="10" t="s">
        <v>2</v>
      </c>
      <c r="U4" s="10" t="s">
        <v>3</v>
      </c>
      <c r="V4" s="10" t="s">
        <v>4</v>
      </c>
      <c r="W4" s="10" t="s">
        <v>5</v>
      </c>
      <c r="X4" s="10" t="s">
        <v>6</v>
      </c>
      <c r="Y4" s="10" t="s">
        <v>7</v>
      </c>
      <c r="Z4" s="10" t="s">
        <v>8</v>
      </c>
      <c r="AA4" s="10" t="s">
        <v>2</v>
      </c>
      <c r="AB4" s="10" t="s">
        <v>3</v>
      </c>
      <c r="AC4" s="10" t="s">
        <v>4</v>
      </c>
      <c r="AD4" s="10" t="s">
        <v>5</v>
      </c>
      <c r="AE4" s="10" t="s">
        <v>6</v>
      </c>
      <c r="AF4" s="10" t="s">
        <v>7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38</v>
      </c>
      <c r="C7" s="69" t="s">
        <v>40</v>
      </c>
      <c r="D7" s="69" t="s">
        <v>40</v>
      </c>
      <c r="E7" s="69" t="s">
        <v>39</v>
      </c>
      <c r="F7" s="69" t="s">
        <v>39</v>
      </c>
      <c r="G7" s="69" t="s">
        <v>40</v>
      </c>
      <c r="H7" s="69" t="s">
        <v>40</v>
      </c>
      <c r="I7" s="60" t="s">
        <v>38</v>
      </c>
      <c r="J7" s="60" t="s">
        <v>38</v>
      </c>
      <c r="K7" s="60" t="s">
        <v>40</v>
      </c>
      <c r="L7" s="60" t="s">
        <v>40</v>
      </c>
      <c r="M7" s="60" t="s">
        <v>39</v>
      </c>
      <c r="N7" s="61" t="s">
        <v>39</v>
      </c>
      <c r="O7" s="61" t="s">
        <v>39</v>
      </c>
      <c r="P7" s="70" t="s">
        <v>40</v>
      </c>
      <c r="Q7" s="70" t="s">
        <v>38</v>
      </c>
      <c r="R7" s="70" t="s">
        <v>38</v>
      </c>
      <c r="S7" s="70" t="s">
        <v>40</v>
      </c>
      <c r="T7" s="70" t="s">
        <v>40</v>
      </c>
      <c r="U7" s="70" t="s">
        <v>40</v>
      </c>
      <c r="V7" s="70" t="s">
        <v>39</v>
      </c>
      <c r="W7" s="71" t="s">
        <v>39</v>
      </c>
      <c r="X7" s="71" t="s">
        <v>40</v>
      </c>
      <c r="Y7" s="71" t="s">
        <v>40</v>
      </c>
      <c r="Z7" s="71" t="s">
        <v>38</v>
      </c>
      <c r="AA7" s="71" t="s">
        <v>38</v>
      </c>
      <c r="AB7" s="71" t="s">
        <v>40</v>
      </c>
      <c r="AC7" s="71" t="s">
        <v>40</v>
      </c>
      <c r="AD7" s="71" t="s">
        <v>39</v>
      </c>
      <c r="AE7" s="71" t="s">
        <v>39</v>
      </c>
      <c r="AF7" s="71" t="s">
        <v>40</v>
      </c>
      <c r="AG7" s="49">
        <f t="shared" ref="AG7:AG10" si="1">COUNTIF(B7:AF7,"D")</f>
        <v>7</v>
      </c>
      <c r="AH7" s="49">
        <f t="shared" ref="AH7:AH10" si="2">COUNTIF(B7:AF7,"N")</f>
        <v>9</v>
      </c>
      <c r="AI7" s="49">
        <f t="shared" ref="AI7:AI10" si="3">COUNTIF(B7:AF7,"X")</f>
        <v>15</v>
      </c>
      <c r="AJ7" s="49">
        <f t="shared" ref="AJ7:AJ10" si="4">AG7+AH7</f>
        <v>16</v>
      </c>
      <c r="AK7" s="84">
        <f t="shared" ref="AK7:AK10" si="5">(AJ7*12)/4.4</f>
        <v>43.63636364</v>
      </c>
    </row>
    <row r="8">
      <c r="A8" s="13" t="s">
        <v>45</v>
      </c>
      <c r="B8" s="69" t="s">
        <v>39</v>
      </c>
      <c r="C8" s="69" t="s">
        <v>40</v>
      </c>
      <c r="D8" s="69" t="s">
        <v>40</v>
      </c>
      <c r="E8" s="69" t="s">
        <v>38</v>
      </c>
      <c r="F8" s="69" t="s">
        <v>38</v>
      </c>
      <c r="G8" s="69" t="s">
        <v>40</v>
      </c>
      <c r="H8" s="69" t="s">
        <v>40</v>
      </c>
      <c r="I8" s="69" t="s">
        <v>39</v>
      </c>
      <c r="J8" s="69" t="s">
        <v>39</v>
      </c>
      <c r="K8" s="69" t="s">
        <v>40</v>
      </c>
      <c r="L8" s="69" t="s">
        <v>40</v>
      </c>
      <c r="M8" s="69" t="s">
        <v>38</v>
      </c>
      <c r="N8" s="69" t="s">
        <v>38</v>
      </c>
      <c r="O8" s="69" t="s">
        <v>40</v>
      </c>
      <c r="P8" s="60" t="s">
        <v>39</v>
      </c>
      <c r="Q8" s="60" t="s">
        <v>39</v>
      </c>
      <c r="R8" s="60" t="s">
        <v>40</v>
      </c>
      <c r="S8" s="60" t="s">
        <v>38</v>
      </c>
      <c r="T8" s="60" t="s">
        <v>38</v>
      </c>
      <c r="U8" s="61" t="s">
        <v>38</v>
      </c>
      <c r="V8" s="61" t="s">
        <v>40</v>
      </c>
      <c r="W8" s="70" t="s">
        <v>40</v>
      </c>
      <c r="X8" s="70" t="s">
        <v>39</v>
      </c>
      <c r="Y8" s="70" t="s">
        <v>39</v>
      </c>
      <c r="Z8" s="70" t="s">
        <v>40</v>
      </c>
      <c r="AA8" s="70" t="s">
        <v>40</v>
      </c>
      <c r="AB8" s="70" t="s">
        <v>38</v>
      </c>
      <c r="AC8" s="70" t="s">
        <v>38</v>
      </c>
      <c r="AD8" s="70" t="s">
        <v>40</v>
      </c>
      <c r="AE8" s="70" t="s">
        <v>40</v>
      </c>
      <c r="AF8" s="70" t="s">
        <v>39</v>
      </c>
      <c r="AG8" s="49">
        <f t="shared" si="1"/>
        <v>9</v>
      </c>
      <c r="AH8" s="49">
        <f t="shared" si="2"/>
        <v>8</v>
      </c>
      <c r="AI8" s="49">
        <f t="shared" si="3"/>
        <v>14</v>
      </c>
      <c r="AJ8" s="49">
        <f t="shared" si="4"/>
        <v>17</v>
      </c>
      <c r="AK8" s="84">
        <f t="shared" si="5"/>
        <v>46.36363636</v>
      </c>
    </row>
    <row r="9">
      <c r="A9" s="13" t="s">
        <v>73</v>
      </c>
      <c r="B9" s="60" t="s">
        <v>40</v>
      </c>
      <c r="C9" s="60" t="s">
        <v>38</v>
      </c>
      <c r="D9" s="60" t="s">
        <v>38</v>
      </c>
      <c r="E9" s="60" t="s">
        <v>40</v>
      </c>
      <c r="F9" s="60" t="s">
        <v>40</v>
      </c>
      <c r="G9" s="61" t="s">
        <v>39</v>
      </c>
      <c r="H9" s="61" t="s">
        <v>39</v>
      </c>
      <c r="I9" s="70" t="s">
        <v>40</v>
      </c>
      <c r="J9" s="70" t="s">
        <v>40</v>
      </c>
      <c r="K9" s="70" t="s">
        <v>38</v>
      </c>
      <c r="L9" s="70" t="s">
        <v>38</v>
      </c>
      <c r="M9" s="70" t="s">
        <v>40</v>
      </c>
      <c r="N9" s="70" t="s">
        <v>40</v>
      </c>
      <c r="O9" s="70" t="s">
        <v>38</v>
      </c>
      <c r="P9" s="70" t="s">
        <v>38</v>
      </c>
      <c r="Q9" s="70" t="s">
        <v>40</v>
      </c>
      <c r="R9" s="70" t="s">
        <v>39</v>
      </c>
      <c r="S9" s="70" t="s">
        <v>39</v>
      </c>
      <c r="T9" s="70" t="s">
        <v>40</v>
      </c>
      <c r="U9" s="70" t="s">
        <v>40</v>
      </c>
      <c r="V9" s="70" t="s">
        <v>38</v>
      </c>
      <c r="W9" s="60" t="s">
        <v>38</v>
      </c>
      <c r="X9" s="60" t="s">
        <v>40</v>
      </c>
      <c r="Y9" s="60" t="s">
        <v>40</v>
      </c>
      <c r="Z9" s="60" t="s">
        <v>39</v>
      </c>
      <c r="AA9" s="60" t="s">
        <v>39</v>
      </c>
      <c r="AB9" s="61" t="s">
        <v>40</v>
      </c>
      <c r="AC9" s="61" t="s">
        <v>40</v>
      </c>
      <c r="AD9" s="61" t="s">
        <v>38</v>
      </c>
      <c r="AE9" s="61" t="s">
        <v>38</v>
      </c>
      <c r="AF9" s="61" t="s">
        <v>40</v>
      </c>
      <c r="AG9" s="49">
        <f t="shared" si="1"/>
        <v>10</v>
      </c>
      <c r="AH9" s="49">
        <f t="shared" si="2"/>
        <v>6</v>
      </c>
      <c r="AI9" s="49">
        <f t="shared" si="3"/>
        <v>15</v>
      </c>
      <c r="AJ9" s="49">
        <f t="shared" si="4"/>
        <v>16</v>
      </c>
      <c r="AK9" s="84">
        <f t="shared" si="5"/>
        <v>43.63636364</v>
      </c>
    </row>
    <row r="10">
      <c r="A10" s="13" t="s">
        <v>48</v>
      </c>
      <c r="B10" s="69" t="s">
        <v>40</v>
      </c>
      <c r="C10" s="69" t="s">
        <v>39</v>
      </c>
      <c r="D10" s="69" t="s">
        <v>39</v>
      </c>
      <c r="E10" s="69" t="s">
        <v>40</v>
      </c>
      <c r="F10" s="69" t="s">
        <v>40</v>
      </c>
      <c r="G10" s="69" t="s">
        <v>38</v>
      </c>
      <c r="H10" s="69" t="s">
        <v>38</v>
      </c>
      <c r="I10" s="69" t="s">
        <v>40</v>
      </c>
      <c r="J10" s="69" t="s">
        <v>40</v>
      </c>
      <c r="K10" s="69" t="s">
        <v>39</v>
      </c>
      <c r="L10" s="69" t="s">
        <v>39</v>
      </c>
      <c r="M10" s="69" t="s">
        <v>44</v>
      </c>
      <c r="N10" s="69" t="s">
        <v>44</v>
      </c>
      <c r="O10" s="69" t="s">
        <v>44</v>
      </c>
      <c r="P10" s="69" t="s">
        <v>44</v>
      </c>
      <c r="Q10" s="69" t="s">
        <v>44</v>
      </c>
      <c r="R10" s="69" t="s">
        <v>40</v>
      </c>
      <c r="S10" s="69" t="s">
        <v>40</v>
      </c>
      <c r="T10" s="69" t="s">
        <v>39</v>
      </c>
      <c r="U10" s="69" t="s">
        <v>39</v>
      </c>
      <c r="V10" s="69" t="s">
        <v>40</v>
      </c>
      <c r="W10" s="70" t="s">
        <v>40</v>
      </c>
      <c r="X10" s="70" t="s">
        <v>38</v>
      </c>
      <c r="Y10" s="70" t="s">
        <v>38</v>
      </c>
      <c r="Z10" s="70" t="s">
        <v>40</v>
      </c>
      <c r="AA10" s="70" t="s">
        <v>40</v>
      </c>
      <c r="AB10" s="70" t="s">
        <v>39</v>
      </c>
      <c r="AC10" s="70" t="s">
        <v>39</v>
      </c>
      <c r="AD10" s="70" t="s">
        <v>40</v>
      </c>
      <c r="AE10" s="70" t="s">
        <v>40</v>
      </c>
      <c r="AF10" s="70" t="s">
        <v>38</v>
      </c>
      <c r="AG10" s="49">
        <f t="shared" si="1"/>
        <v>5</v>
      </c>
      <c r="AH10" s="49">
        <f t="shared" si="2"/>
        <v>8</v>
      </c>
      <c r="AI10" s="49">
        <f t="shared" si="3"/>
        <v>13</v>
      </c>
      <c r="AJ10" s="49">
        <f t="shared" si="4"/>
        <v>13</v>
      </c>
      <c r="AK10" s="84">
        <f t="shared" si="5"/>
        <v>35.45454545</v>
      </c>
    </row>
    <row r="11">
      <c r="A11" s="23" t="s">
        <v>49</v>
      </c>
      <c r="B11" s="24">
        <f t="shared" ref="B11:AF11" si="6">COUNTIF(B7:B10,"D")</f>
        <v>1</v>
      </c>
      <c r="C11" s="24">
        <f t="shared" si="6"/>
        <v>1</v>
      </c>
      <c r="D11" s="24">
        <f t="shared" si="6"/>
        <v>1</v>
      </c>
      <c r="E11" s="24">
        <f t="shared" si="6"/>
        <v>1</v>
      </c>
      <c r="F11" s="24">
        <f t="shared" si="6"/>
        <v>1</v>
      </c>
      <c r="G11" s="24">
        <f t="shared" si="6"/>
        <v>1</v>
      </c>
      <c r="H11" s="24">
        <f t="shared" si="6"/>
        <v>1</v>
      </c>
      <c r="I11" s="24">
        <f t="shared" si="6"/>
        <v>1</v>
      </c>
      <c r="J11" s="24">
        <f t="shared" si="6"/>
        <v>1</v>
      </c>
      <c r="K11" s="24">
        <f t="shared" si="6"/>
        <v>1</v>
      </c>
      <c r="L11" s="24">
        <f t="shared" si="6"/>
        <v>1</v>
      </c>
      <c r="M11" s="24">
        <f t="shared" si="6"/>
        <v>1</v>
      </c>
      <c r="N11" s="24">
        <f t="shared" si="6"/>
        <v>1</v>
      </c>
      <c r="O11" s="24">
        <f t="shared" si="6"/>
        <v>1</v>
      </c>
      <c r="P11" s="24">
        <f t="shared" si="6"/>
        <v>1</v>
      </c>
      <c r="Q11" s="24">
        <f t="shared" si="6"/>
        <v>1</v>
      </c>
      <c r="R11" s="24">
        <f t="shared" si="6"/>
        <v>1</v>
      </c>
      <c r="S11" s="24">
        <f t="shared" si="6"/>
        <v>1</v>
      </c>
      <c r="T11" s="24">
        <f t="shared" si="6"/>
        <v>1</v>
      </c>
      <c r="U11" s="24">
        <f t="shared" si="6"/>
        <v>1</v>
      </c>
      <c r="V11" s="24">
        <f t="shared" si="6"/>
        <v>1</v>
      </c>
      <c r="W11" s="24">
        <f t="shared" si="6"/>
        <v>1</v>
      </c>
      <c r="X11" s="24">
        <f t="shared" si="6"/>
        <v>1</v>
      </c>
      <c r="Y11" s="24">
        <f t="shared" si="6"/>
        <v>1</v>
      </c>
      <c r="Z11" s="24">
        <f t="shared" si="6"/>
        <v>1</v>
      </c>
      <c r="AA11" s="24">
        <f t="shared" si="6"/>
        <v>1</v>
      </c>
      <c r="AB11" s="24">
        <f t="shared" si="6"/>
        <v>1</v>
      </c>
      <c r="AC11" s="24">
        <f t="shared" si="6"/>
        <v>1</v>
      </c>
      <c r="AD11" s="24">
        <f t="shared" si="6"/>
        <v>1</v>
      </c>
      <c r="AE11" s="24">
        <f t="shared" si="6"/>
        <v>1</v>
      </c>
      <c r="AF11" s="24">
        <f t="shared" si="6"/>
        <v>1</v>
      </c>
    </row>
    <row r="12">
      <c r="A12" s="26" t="s">
        <v>50</v>
      </c>
      <c r="B12" s="27">
        <f t="shared" ref="B12:AF12" si="7">COUNTIF(B7:B10,"N")</f>
        <v>1</v>
      </c>
      <c r="C12" s="27">
        <f t="shared" si="7"/>
        <v>1</v>
      </c>
      <c r="D12" s="27">
        <f t="shared" si="7"/>
        <v>1</v>
      </c>
      <c r="E12" s="27">
        <f t="shared" si="7"/>
        <v>1</v>
      </c>
      <c r="F12" s="27">
        <f t="shared" si="7"/>
        <v>1</v>
      </c>
      <c r="G12" s="27">
        <f t="shared" si="7"/>
        <v>1</v>
      </c>
      <c r="H12" s="27">
        <f t="shared" si="7"/>
        <v>1</v>
      </c>
      <c r="I12" s="27">
        <f t="shared" si="7"/>
        <v>1</v>
      </c>
      <c r="J12" s="27">
        <f t="shared" si="7"/>
        <v>1</v>
      </c>
      <c r="K12" s="27">
        <f t="shared" si="7"/>
        <v>1</v>
      </c>
      <c r="L12" s="27">
        <f t="shared" si="7"/>
        <v>1</v>
      </c>
      <c r="M12" s="27">
        <f t="shared" si="7"/>
        <v>1</v>
      </c>
      <c r="N12" s="27">
        <f t="shared" si="7"/>
        <v>1</v>
      </c>
      <c r="O12" s="27">
        <f t="shared" si="7"/>
        <v>1</v>
      </c>
      <c r="P12" s="27">
        <f t="shared" si="7"/>
        <v>1</v>
      </c>
      <c r="Q12" s="27">
        <f t="shared" si="7"/>
        <v>1</v>
      </c>
      <c r="R12" s="27">
        <f t="shared" si="7"/>
        <v>1</v>
      </c>
      <c r="S12" s="27">
        <f t="shared" si="7"/>
        <v>1</v>
      </c>
      <c r="T12" s="27">
        <f t="shared" si="7"/>
        <v>1</v>
      </c>
      <c r="U12" s="27">
        <f t="shared" si="7"/>
        <v>1</v>
      </c>
      <c r="V12" s="27">
        <f t="shared" si="7"/>
        <v>1</v>
      </c>
      <c r="W12" s="27">
        <f t="shared" si="7"/>
        <v>1</v>
      </c>
      <c r="X12" s="27">
        <f t="shared" si="7"/>
        <v>1</v>
      </c>
      <c r="Y12" s="27">
        <f t="shared" si="7"/>
        <v>1</v>
      </c>
      <c r="Z12" s="27">
        <f t="shared" si="7"/>
        <v>1</v>
      </c>
      <c r="AA12" s="27">
        <f t="shared" si="7"/>
        <v>1</v>
      </c>
      <c r="AB12" s="27">
        <f t="shared" si="7"/>
        <v>1</v>
      </c>
      <c r="AC12" s="27">
        <f t="shared" si="7"/>
        <v>1</v>
      </c>
      <c r="AD12" s="27">
        <f t="shared" si="7"/>
        <v>1</v>
      </c>
      <c r="AE12" s="27">
        <f t="shared" si="7"/>
        <v>1</v>
      </c>
      <c r="AF12" s="27">
        <f t="shared" si="7"/>
        <v>1</v>
      </c>
    </row>
    <row r="13">
      <c r="I13" s="28"/>
      <c r="J13" s="28"/>
      <c r="K13" s="28"/>
      <c r="L13" s="28"/>
      <c r="M13" s="28"/>
      <c r="N13" s="28"/>
      <c r="O13" s="28"/>
      <c r="AG13" s="53"/>
      <c r="AH13" s="53"/>
      <c r="AI13" s="53"/>
      <c r="AJ13" s="53"/>
      <c r="AK13" s="53"/>
    </row>
    <row r="14">
      <c r="E14" s="29" t="s">
        <v>51</v>
      </c>
      <c r="F14" s="30"/>
      <c r="G14" s="30"/>
      <c r="H14" s="31"/>
      <c r="I14" s="32"/>
      <c r="J14" s="28"/>
      <c r="K14" s="28"/>
      <c r="L14" s="62"/>
      <c r="M14" s="28"/>
      <c r="N14" s="28"/>
      <c r="O14" s="28"/>
      <c r="AG14" s="22"/>
      <c r="AH14" s="22"/>
      <c r="AI14" s="22"/>
      <c r="AJ14" s="22"/>
      <c r="AK14" s="22"/>
    </row>
    <row r="15">
      <c r="E15" s="33" t="s">
        <v>38</v>
      </c>
      <c r="F15" s="1" t="s">
        <v>52</v>
      </c>
      <c r="H15" s="34"/>
      <c r="I15" s="28"/>
      <c r="J15" s="11"/>
      <c r="K15" s="11"/>
      <c r="L15" s="11"/>
      <c r="M15" s="9" t="s">
        <v>8</v>
      </c>
      <c r="N15" s="9" t="s">
        <v>2</v>
      </c>
      <c r="O15" s="9" t="s">
        <v>3</v>
      </c>
      <c r="P15" s="9" t="s">
        <v>4</v>
      </c>
      <c r="Q15" s="13"/>
      <c r="R15" s="11"/>
      <c r="S15" s="11"/>
      <c r="T15" s="11"/>
      <c r="U15" s="11"/>
      <c r="V15" s="11"/>
      <c r="W15" s="11"/>
      <c r="AG15" s="22"/>
      <c r="AH15" s="22"/>
      <c r="AI15" s="22"/>
      <c r="AJ15" s="22"/>
      <c r="AK15" s="22"/>
    </row>
    <row r="16">
      <c r="E16" s="33" t="s">
        <v>39</v>
      </c>
      <c r="F16" s="1" t="s">
        <v>53</v>
      </c>
      <c r="H16" s="34"/>
      <c r="J16" s="13"/>
      <c r="K16" s="13"/>
      <c r="L16" s="13"/>
      <c r="M16" s="13" t="s">
        <v>34</v>
      </c>
      <c r="N16" s="13" t="s">
        <v>35</v>
      </c>
      <c r="O16" s="13" t="s">
        <v>36</v>
      </c>
      <c r="P16" s="13" t="s">
        <v>37</v>
      </c>
      <c r="Q16" s="13"/>
      <c r="R16" s="70"/>
      <c r="S16" s="70"/>
      <c r="T16" s="70"/>
      <c r="U16" s="70"/>
      <c r="V16" s="71"/>
      <c r="W16" s="71"/>
      <c r="X16" s="71"/>
      <c r="Y16" s="71"/>
      <c r="Z16" s="71"/>
      <c r="AA16" s="71"/>
      <c r="AB16" s="71"/>
      <c r="AG16" s="22"/>
      <c r="AH16" s="22"/>
      <c r="AI16" s="22"/>
      <c r="AJ16" s="22"/>
      <c r="AK16" s="22"/>
    </row>
    <row r="17">
      <c r="E17" s="33" t="s">
        <v>41</v>
      </c>
      <c r="F17" s="1" t="s">
        <v>54</v>
      </c>
      <c r="H17" s="34"/>
      <c r="M17" s="68"/>
      <c r="N17" s="68"/>
      <c r="O17" s="68"/>
      <c r="P17" s="68"/>
      <c r="R17" s="60"/>
      <c r="S17" s="60"/>
      <c r="T17" s="61"/>
      <c r="U17" s="61"/>
      <c r="V17" s="70"/>
      <c r="W17" s="70"/>
      <c r="X17" s="70"/>
      <c r="Y17" s="70"/>
      <c r="Z17" s="70"/>
      <c r="AA17" s="70"/>
      <c r="AB17" s="70"/>
      <c r="AG17" s="22"/>
      <c r="AH17" s="22"/>
      <c r="AI17" s="22"/>
      <c r="AJ17" s="22"/>
      <c r="AK17" s="22"/>
    </row>
    <row r="18">
      <c r="E18" s="33" t="s">
        <v>55</v>
      </c>
      <c r="F18" s="1" t="s">
        <v>56</v>
      </c>
      <c r="H18" s="34"/>
      <c r="J18" s="19" t="s">
        <v>43</v>
      </c>
      <c r="M18" s="61" t="s">
        <v>39</v>
      </c>
      <c r="N18" s="70" t="s">
        <v>40</v>
      </c>
      <c r="O18" s="70" t="s">
        <v>40</v>
      </c>
      <c r="P18" s="70" t="s">
        <v>38</v>
      </c>
      <c r="Q18" s="19"/>
      <c r="R18" s="70"/>
      <c r="S18" s="70"/>
      <c r="T18" s="70"/>
      <c r="U18" s="70"/>
      <c r="V18" s="60"/>
      <c r="W18" s="60"/>
      <c r="X18" s="60"/>
      <c r="Y18" s="60"/>
      <c r="Z18" s="60"/>
      <c r="AA18" s="61"/>
      <c r="AB18" s="61"/>
    </row>
    <row r="19">
      <c r="E19" s="33" t="s">
        <v>40</v>
      </c>
      <c r="F19" s="1" t="s">
        <v>57</v>
      </c>
      <c r="H19" s="34"/>
      <c r="J19" s="13" t="s">
        <v>45</v>
      </c>
      <c r="K19" s="59"/>
      <c r="L19" s="59"/>
      <c r="M19" s="69" t="s">
        <v>38</v>
      </c>
      <c r="N19" s="60" t="s">
        <v>40</v>
      </c>
      <c r="O19" s="60" t="s">
        <v>40</v>
      </c>
      <c r="P19" s="60" t="s">
        <v>39</v>
      </c>
      <c r="Q19" s="13"/>
      <c r="R19" s="69"/>
      <c r="S19" s="69"/>
      <c r="T19" s="69"/>
      <c r="U19" s="69"/>
      <c r="V19" s="70"/>
      <c r="W19" s="70"/>
      <c r="X19" s="70"/>
      <c r="Y19" s="70"/>
      <c r="Z19" s="70"/>
      <c r="AA19" s="70"/>
      <c r="AB19" s="70"/>
    </row>
    <row r="20">
      <c r="E20" s="33" t="s">
        <v>58</v>
      </c>
      <c r="F20" s="1" t="s">
        <v>59</v>
      </c>
      <c r="H20" s="34"/>
      <c r="I20" s="72"/>
      <c r="J20" s="13" t="s">
        <v>73</v>
      </c>
      <c r="K20" s="73"/>
      <c r="L20" s="73"/>
      <c r="M20" s="70" t="s">
        <v>40</v>
      </c>
      <c r="N20" s="70" t="s">
        <v>39</v>
      </c>
      <c r="O20" s="70" t="s">
        <v>39</v>
      </c>
      <c r="P20" s="70" t="s">
        <v>40</v>
      </c>
      <c r="Q20" s="13"/>
      <c r="T20" s="20"/>
      <c r="U20" s="20"/>
      <c r="V20" s="20"/>
      <c r="W20" s="20"/>
      <c r="X20" s="13"/>
    </row>
    <row r="21">
      <c r="E21" s="33" t="s">
        <v>60</v>
      </c>
      <c r="F21" s="1" t="s">
        <v>61</v>
      </c>
      <c r="H21" s="34"/>
      <c r="I21" s="20"/>
      <c r="J21" s="13" t="s">
        <v>48</v>
      </c>
      <c r="K21" s="59"/>
      <c r="L21" s="59"/>
      <c r="M21" s="69" t="s">
        <v>40</v>
      </c>
      <c r="N21" s="69" t="s">
        <v>38</v>
      </c>
      <c r="O21" s="69" t="s">
        <v>38</v>
      </c>
      <c r="P21" s="69" t="s">
        <v>40</v>
      </c>
      <c r="Q21" s="13"/>
      <c r="T21" s="20"/>
      <c r="U21" s="20"/>
      <c r="V21" s="20"/>
      <c r="W21" s="20"/>
      <c r="X21" s="13"/>
    </row>
    <row r="22">
      <c r="E22" s="33" t="s">
        <v>44</v>
      </c>
      <c r="F22" s="1" t="s">
        <v>62</v>
      </c>
      <c r="H22" s="34"/>
      <c r="I22" s="20"/>
      <c r="J22" s="55"/>
      <c r="K22" s="55"/>
      <c r="L22" s="55"/>
      <c r="M22" s="55"/>
      <c r="N22" s="55"/>
      <c r="O22" s="55"/>
      <c r="P22" s="55"/>
      <c r="Q22" s="13"/>
      <c r="T22" s="20"/>
      <c r="U22" s="20"/>
      <c r="V22" s="20"/>
      <c r="W22" s="20"/>
      <c r="X22" s="13"/>
    </row>
    <row r="23">
      <c r="E23" s="33" t="s">
        <v>63</v>
      </c>
      <c r="F23" s="1" t="s">
        <v>64</v>
      </c>
      <c r="H23" s="34"/>
      <c r="K23" s="20"/>
      <c r="L23" s="20"/>
      <c r="M23" s="20"/>
      <c r="N23" s="20"/>
      <c r="O23" s="20"/>
      <c r="P23" s="20"/>
      <c r="Q23" s="20"/>
    </row>
    <row r="24">
      <c r="E24" s="33" t="s">
        <v>65</v>
      </c>
      <c r="F24" s="1" t="s">
        <v>66</v>
      </c>
      <c r="H24" s="34"/>
    </row>
    <row r="25">
      <c r="E25" s="33" t="s">
        <v>46</v>
      </c>
      <c r="F25" s="1" t="s">
        <v>67</v>
      </c>
      <c r="H25" s="34"/>
    </row>
    <row r="26">
      <c r="E26" s="35" t="s">
        <v>68</v>
      </c>
      <c r="F26" s="36" t="s">
        <v>69</v>
      </c>
      <c r="G26" s="8"/>
      <c r="H26" s="37"/>
    </row>
    <row r="29">
      <c r="A29" s="6"/>
      <c r="B29" s="11"/>
      <c r="C29" s="11"/>
      <c r="D29" s="11"/>
      <c r="E29" s="11"/>
      <c r="F29" s="11"/>
      <c r="G29" s="11"/>
      <c r="H29" s="11"/>
    </row>
    <row r="30">
      <c r="A30" s="12"/>
      <c r="B30" s="13"/>
      <c r="C30" s="13"/>
      <c r="D30" s="13"/>
      <c r="E30" s="13"/>
      <c r="F30" s="13"/>
      <c r="G30" s="13"/>
      <c r="H30" s="13"/>
    </row>
    <row r="31">
      <c r="A31" s="39"/>
      <c r="B31" s="20"/>
      <c r="C31" s="20"/>
      <c r="D31" s="20"/>
      <c r="E31" s="20"/>
      <c r="F31" s="20"/>
      <c r="G31" s="20"/>
      <c r="H31" s="20"/>
    </row>
    <row r="32">
      <c r="A32" s="13"/>
      <c r="B32" s="20"/>
      <c r="C32" s="20"/>
      <c r="D32" s="20"/>
      <c r="E32" s="20"/>
      <c r="F32" s="20"/>
      <c r="G32" s="20"/>
      <c r="H32" s="20"/>
    </row>
    <row r="33">
      <c r="A33" s="13"/>
      <c r="B33" s="20"/>
      <c r="C33" s="20"/>
      <c r="D33" s="20"/>
      <c r="E33" s="66"/>
      <c r="F33" s="66"/>
      <c r="G33" s="67"/>
      <c r="H33" s="67"/>
    </row>
    <row r="34">
      <c r="A34" s="13"/>
      <c r="B34" s="20"/>
      <c r="C34" s="20"/>
      <c r="D34" s="20"/>
      <c r="E34" s="20"/>
      <c r="F34" s="20"/>
      <c r="G34" s="20"/>
      <c r="H34" s="20"/>
    </row>
  </sheetData>
  <mergeCells count="14">
    <mergeCell ref="F20:H20"/>
    <mergeCell ref="F21:H21"/>
    <mergeCell ref="F22:H22"/>
    <mergeCell ref="F23:H23"/>
    <mergeCell ref="F24:H24"/>
    <mergeCell ref="F25:H25"/>
    <mergeCell ref="F26:H26"/>
    <mergeCell ref="B1:AC3"/>
    <mergeCell ref="E14:H14"/>
    <mergeCell ref="F15:H15"/>
    <mergeCell ref="F16:H16"/>
    <mergeCell ref="F17:H17"/>
    <mergeCell ref="F18:H18"/>
    <mergeCell ref="F19:H19"/>
  </mergeCells>
  <conditionalFormatting sqref="B9:H9 T20:W20">
    <cfRule type="cellIs" dxfId="0" priority="1" operator="equal">
      <formula>"X"</formula>
    </cfRule>
  </conditionalFormatting>
  <conditionalFormatting sqref="B9:H9 T20:W20">
    <cfRule type="cellIs" dxfId="1" priority="2" operator="equal">
      <formula>"D"</formula>
    </cfRule>
  </conditionalFormatting>
  <conditionalFormatting sqref="B9:H9 T20:W20">
    <cfRule type="cellIs" dxfId="2" priority="3" operator="equal">
      <formula>"N"</formula>
    </cfRule>
  </conditionalFormatting>
  <conditionalFormatting sqref="B9:H9 T20:W20">
    <cfRule type="cellIs" dxfId="3" priority="4" operator="equal">
      <formula>"OB"</formula>
    </cfRule>
  </conditionalFormatting>
  <conditionalFormatting sqref="B9:H9 T20:W20">
    <cfRule type="cellIs" dxfId="0" priority="5" operator="equal">
      <formula>"C"</formula>
    </cfRule>
  </conditionalFormatting>
  <conditionalFormatting sqref="B9:H9 T20:W20">
    <cfRule type="cellIs" dxfId="0" priority="6" operator="equal">
      <formula>"AL"</formula>
    </cfRule>
  </conditionalFormatting>
  <conditionalFormatting sqref="B9:H9 T20:W20">
    <cfRule type="cellIs" dxfId="4" priority="7" operator="equal">
      <formula>"UP"</formula>
    </cfRule>
  </conditionalFormatting>
  <conditionalFormatting sqref="B9:H9 T20:W20">
    <cfRule type="cellIs" dxfId="0" priority="8" operator="equal">
      <formula>"S"</formula>
    </cfRule>
  </conditionalFormatting>
  <conditionalFormatting sqref="B9:H9 T20:W20">
    <cfRule type="cellIs" dxfId="5" priority="9" operator="equal">
      <formula>"OC"</formula>
    </cfRule>
  </conditionalFormatting>
  <conditionalFormatting sqref="B9:H9 T20:W20">
    <cfRule type="cellIs" dxfId="6" priority="10" operator="equal">
      <formula>"SPV"</formula>
    </cfRule>
  </conditionalFormatting>
  <conditionalFormatting sqref="B9:H9 T20:W20">
    <cfRule type="cellIs" dxfId="7" priority="11" operator="equal">
      <formula>"INT"</formula>
    </cfRule>
  </conditionalFormatting>
  <conditionalFormatting sqref="B9:H9 T20:W20">
    <cfRule type="cellIs" dxfId="8" priority="12" operator="equal">
      <formula>"T"</formula>
    </cfRule>
  </conditionalFormatting>
  <conditionalFormatting sqref="B7:AF10 E15:E26 R16:AB19 K18:P23 I20:I22 T21:W22 J22 Q23 B31:H34 G36:J36">
    <cfRule type="cellIs" dxfId="0" priority="13" operator="equal">
      <formula>"X"</formula>
    </cfRule>
  </conditionalFormatting>
  <conditionalFormatting sqref="B7:AF10 E15:E26 R16:AB19 K18:P23 I20:I22 T21:W22 J22 Q23 B31:H34 G36:J36">
    <cfRule type="cellIs" dxfId="1" priority="14" operator="equal">
      <formula>"D"</formula>
    </cfRule>
  </conditionalFormatting>
  <conditionalFormatting sqref="B7:AF10 E15:E26 R16:AB19 K18:P23 I20:I22 T21:W22 J22 Q23 B31:H34 G36:J36">
    <cfRule type="cellIs" dxfId="2" priority="15" operator="equal">
      <formula>"N"</formula>
    </cfRule>
  </conditionalFormatting>
  <conditionalFormatting sqref="B7:AF10 E15:E26 R16:AB19 K18:P23 I20:I22 T21:W22 J22 Q23 B31:H34 G36:J36">
    <cfRule type="cellIs" dxfId="3" priority="16" operator="equal">
      <formula>"OB"</formula>
    </cfRule>
  </conditionalFormatting>
  <conditionalFormatting sqref="B7:AF10 E15:E26 R16:AB19 K18:P23 I20:I22 T21:W22 J22 Q23 B31:H34 G36:J36">
    <cfRule type="cellIs" dxfId="0" priority="17" operator="equal">
      <formula>"C"</formula>
    </cfRule>
  </conditionalFormatting>
  <conditionalFormatting sqref="B7:AF10 E15:E26 R16:AB19 K18:P23 I20:I22 T21:W22 J22 Q23 B31:H34 G36:J36">
    <cfRule type="cellIs" dxfId="0" priority="18" operator="equal">
      <formula>"AL"</formula>
    </cfRule>
  </conditionalFormatting>
  <conditionalFormatting sqref="B7:AF10 E15:E26 R16:AB19 K18:P23 I20:I22 T21:W22 J22 Q23 B31:H34 G36:J36">
    <cfRule type="cellIs" dxfId="4" priority="19" operator="equal">
      <formula>"UP"</formula>
    </cfRule>
  </conditionalFormatting>
  <conditionalFormatting sqref="B7:AF10 E15:E26 R16:AB19 K18:P23 I20:I22 T21:W22 J22 Q23 B31:H34 G36:J36">
    <cfRule type="cellIs" dxfId="0" priority="20" operator="equal">
      <formula>"S"</formula>
    </cfRule>
  </conditionalFormatting>
  <conditionalFormatting sqref="B7:AF10 E15:E26 R16:AB19 K18:P23 I20:I22 T21:W22 J22 Q23 B31:H34 G36:J36">
    <cfRule type="cellIs" dxfId="5" priority="21" operator="equal">
      <formula>"OC"</formula>
    </cfRule>
  </conditionalFormatting>
  <conditionalFormatting sqref="B7:AF10 E15:E26 R16:AB19 K18:P23 I20:I22 T21:W22 J22 Q23 B31:H34 G36:J36">
    <cfRule type="cellIs" dxfId="6" priority="22" operator="equal">
      <formula>"SPV"</formula>
    </cfRule>
  </conditionalFormatting>
  <conditionalFormatting sqref="B7:AF10 E15:E26 R16:AB19 K18:P23 I20:I22 T21:W22 J22 Q23 B31:H34 G36:J36">
    <cfRule type="cellIs" dxfId="7" priority="23" operator="equal">
      <formula>"INT"</formula>
    </cfRule>
  </conditionalFormatting>
  <conditionalFormatting sqref="B7:AF10 R16:AB19 K18:P22 T21:W22 J22">
    <cfRule type="cellIs" dxfId="8" priority="24" operator="equal">
      <formula>"T"</formula>
    </cfRule>
  </conditionalFormatting>
  <conditionalFormatting sqref="E25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110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5</v>
      </c>
      <c r="C4" s="10" t="s">
        <v>6</v>
      </c>
      <c r="D4" s="10" t="s">
        <v>7</v>
      </c>
      <c r="E4" s="10" t="s">
        <v>8</v>
      </c>
      <c r="F4" s="10" t="s">
        <v>2</v>
      </c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  <c r="M4" s="10" t="s">
        <v>2</v>
      </c>
      <c r="N4" s="10" t="s">
        <v>3</v>
      </c>
      <c r="O4" s="10" t="s">
        <v>4</v>
      </c>
      <c r="P4" s="10" t="s">
        <v>5</v>
      </c>
      <c r="Q4" s="10" t="s">
        <v>6</v>
      </c>
      <c r="R4" s="10" t="s">
        <v>7</v>
      </c>
      <c r="S4" s="10" t="s">
        <v>8</v>
      </c>
      <c r="T4" s="10" t="s">
        <v>2</v>
      </c>
      <c r="U4" s="10" t="s">
        <v>3</v>
      </c>
      <c r="V4" s="10" t="s">
        <v>4</v>
      </c>
      <c r="W4" s="10" t="s">
        <v>5</v>
      </c>
      <c r="X4" s="10" t="s">
        <v>6</v>
      </c>
      <c r="Y4" s="10" t="s">
        <v>7</v>
      </c>
      <c r="Z4" s="10" t="s">
        <v>8</v>
      </c>
      <c r="AA4" s="10" t="s">
        <v>2</v>
      </c>
      <c r="AB4" s="10" t="s">
        <v>3</v>
      </c>
      <c r="AC4" s="10" t="s">
        <v>4</v>
      </c>
      <c r="AD4" s="10" t="s">
        <v>5</v>
      </c>
      <c r="AE4" s="10" t="s">
        <v>6</v>
      </c>
      <c r="AF4" s="10" t="s">
        <v>7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38</v>
      </c>
      <c r="C7" s="69" t="s">
        <v>40</v>
      </c>
      <c r="D7" s="69" t="s">
        <v>40</v>
      </c>
      <c r="E7" s="69" t="s">
        <v>39</v>
      </c>
      <c r="F7" s="69" t="s">
        <v>39</v>
      </c>
      <c r="G7" s="69" t="s">
        <v>40</v>
      </c>
      <c r="H7" s="69" t="s">
        <v>40</v>
      </c>
      <c r="I7" s="60" t="s">
        <v>38</v>
      </c>
      <c r="J7" s="60" t="s">
        <v>38</v>
      </c>
      <c r="K7" s="60" t="s">
        <v>40</v>
      </c>
      <c r="L7" s="60" t="s">
        <v>40</v>
      </c>
      <c r="M7" s="60" t="s">
        <v>39</v>
      </c>
      <c r="N7" s="61" t="s">
        <v>39</v>
      </c>
      <c r="O7" s="61" t="s">
        <v>39</v>
      </c>
      <c r="P7" s="70" t="s">
        <v>40</v>
      </c>
      <c r="Q7" s="70" t="s">
        <v>38</v>
      </c>
      <c r="R7" s="70" t="s">
        <v>38</v>
      </c>
      <c r="S7" s="70" t="s">
        <v>38</v>
      </c>
      <c r="T7" s="70" t="s">
        <v>40</v>
      </c>
      <c r="U7" s="70" t="s">
        <v>40</v>
      </c>
      <c r="V7" s="70" t="s">
        <v>39</v>
      </c>
      <c r="W7" s="71" t="s">
        <v>39</v>
      </c>
      <c r="X7" s="71" t="s">
        <v>40</v>
      </c>
      <c r="Y7" s="71" t="s">
        <v>40</v>
      </c>
      <c r="Z7" s="71" t="s">
        <v>38</v>
      </c>
      <c r="AA7" s="71" t="s">
        <v>38</v>
      </c>
      <c r="AB7" s="71" t="s">
        <v>40</v>
      </c>
      <c r="AC7" s="71" t="s">
        <v>40</v>
      </c>
      <c r="AD7" s="71" t="s">
        <v>39</v>
      </c>
      <c r="AE7" s="71" t="s">
        <v>39</v>
      </c>
      <c r="AF7" s="71" t="s">
        <v>40</v>
      </c>
      <c r="AG7" s="49">
        <f t="shared" ref="AG7:AG10" si="1">COUNTIF(B7:AF7,"D")</f>
        <v>8</v>
      </c>
      <c r="AH7" s="49">
        <f t="shared" ref="AH7:AH10" si="2">COUNTIF(B7:AF7,"N")</f>
        <v>9</v>
      </c>
      <c r="AI7" s="49">
        <f t="shared" ref="AI7:AI10" si="3">COUNTIF(B7:AF7,"X")</f>
        <v>14</v>
      </c>
      <c r="AJ7" s="49">
        <f t="shared" ref="AJ7:AJ10" si="4">AG7+AH7</f>
        <v>17</v>
      </c>
      <c r="AK7" s="84">
        <f t="shared" ref="AK7:AK10" si="5">(AJ7*12)/4.4</f>
        <v>46.36363636</v>
      </c>
    </row>
    <row r="8">
      <c r="A8" s="13" t="s">
        <v>45</v>
      </c>
      <c r="B8" s="69" t="s">
        <v>39</v>
      </c>
      <c r="C8" s="69" t="s">
        <v>40</v>
      </c>
      <c r="D8" s="69" t="s">
        <v>40</v>
      </c>
      <c r="E8" s="69" t="s">
        <v>38</v>
      </c>
      <c r="F8" s="69" t="s">
        <v>38</v>
      </c>
      <c r="G8" s="69" t="s">
        <v>40</v>
      </c>
      <c r="H8" s="69" t="s">
        <v>40</v>
      </c>
      <c r="I8" s="69" t="s">
        <v>39</v>
      </c>
      <c r="J8" s="69" t="s">
        <v>39</v>
      </c>
      <c r="K8" s="69" t="s">
        <v>40</v>
      </c>
      <c r="L8" s="69" t="s">
        <v>40</v>
      </c>
      <c r="M8" s="69" t="s">
        <v>38</v>
      </c>
      <c r="N8" s="69" t="s">
        <v>38</v>
      </c>
      <c r="O8" s="69" t="s">
        <v>40</v>
      </c>
      <c r="P8" s="60" t="s">
        <v>39</v>
      </c>
      <c r="Q8" s="60" t="s">
        <v>39</v>
      </c>
      <c r="R8" s="60" t="s">
        <v>39</v>
      </c>
      <c r="S8" s="60" t="s">
        <v>40</v>
      </c>
      <c r="T8" s="60" t="s">
        <v>38</v>
      </c>
      <c r="U8" s="61" t="s">
        <v>38</v>
      </c>
      <c r="V8" s="61" t="s">
        <v>40</v>
      </c>
      <c r="W8" s="70" t="s">
        <v>40</v>
      </c>
      <c r="X8" s="70" t="s">
        <v>39</v>
      </c>
      <c r="Y8" s="70" t="s">
        <v>39</v>
      </c>
      <c r="Z8" s="70" t="s">
        <v>40</v>
      </c>
      <c r="AA8" s="70" t="s">
        <v>40</v>
      </c>
      <c r="AB8" s="70" t="s">
        <v>38</v>
      </c>
      <c r="AC8" s="70" t="s">
        <v>38</v>
      </c>
      <c r="AD8" s="70" t="s">
        <v>40</v>
      </c>
      <c r="AE8" s="70" t="s">
        <v>40</v>
      </c>
      <c r="AF8" s="70" t="s">
        <v>39</v>
      </c>
      <c r="AG8" s="49">
        <f t="shared" si="1"/>
        <v>8</v>
      </c>
      <c r="AH8" s="49">
        <f t="shared" si="2"/>
        <v>9</v>
      </c>
      <c r="AI8" s="49">
        <f t="shared" si="3"/>
        <v>14</v>
      </c>
      <c r="AJ8" s="49">
        <f t="shared" si="4"/>
        <v>17</v>
      </c>
      <c r="AK8" s="84">
        <f t="shared" si="5"/>
        <v>46.36363636</v>
      </c>
    </row>
    <row r="9">
      <c r="A9" s="13" t="s">
        <v>73</v>
      </c>
      <c r="B9" s="60" t="s">
        <v>40</v>
      </c>
      <c r="C9" s="60" t="s">
        <v>38</v>
      </c>
      <c r="D9" s="60" t="s">
        <v>38</v>
      </c>
      <c r="E9" s="60" t="s">
        <v>40</v>
      </c>
      <c r="F9" s="60" t="s">
        <v>40</v>
      </c>
      <c r="G9" s="61" t="s">
        <v>39</v>
      </c>
      <c r="H9" s="61" t="s">
        <v>39</v>
      </c>
      <c r="I9" s="70" t="s">
        <v>40</v>
      </c>
      <c r="J9" s="70" t="s">
        <v>40</v>
      </c>
      <c r="K9" s="70" t="s">
        <v>38</v>
      </c>
      <c r="L9" s="70" t="s">
        <v>38</v>
      </c>
      <c r="M9" s="70" t="s">
        <v>40</v>
      </c>
      <c r="N9" s="70" t="s">
        <v>40</v>
      </c>
      <c r="O9" s="70" t="s">
        <v>38</v>
      </c>
      <c r="P9" s="70" t="s">
        <v>38</v>
      </c>
      <c r="Q9" s="70" t="s">
        <v>40</v>
      </c>
      <c r="R9" s="70" t="s">
        <v>60</v>
      </c>
      <c r="S9" s="70" t="s">
        <v>39</v>
      </c>
      <c r="T9" s="70" t="s">
        <v>39</v>
      </c>
      <c r="U9" s="70" t="s">
        <v>40</v>
      </c>
      <c r="V9" s="70" t="s">
        <v>38</v>
      </c>
      <c r="W9" s="60" t="s">
        <v>38</v>
      </c>
      <c r="X9" s="60" t="s">
        <v>40</v>
      </c>
      <c r="Y9" s="60" t="s">
        <v>40</v>
      </c>
      <c r="Z9" s="60" t="s">
        <v>39</v>
      </c>
      <c r="AA9" s="60" t="s">
        <v>39</v>
      </c>
      <c r="AB9" s="61" t="s">
        <v>40</v>
      </c>
      <c r="AC9" s="61" t="s">
        <v>40</v>
      </c>
      <c r="AD9" s="61" t="s">
        <v>38</v>
      </c>
      <c r="AE9" s="61" t="s">
        <v>40</v>
      </c>
      <c r="AF9" s="61" t="s">
        <v>38</v>
      </c>
      <c r="AG9" s="49">
        <f t="shared" si="1"/>
        <v>10</v>
      </c>
      <c r="AH9" s="49">
        <f t="shared" si="2"/>
        <v>6</v>
      </c>
      <c r="AI9" s="49">
        <f t="shared" si="3"/>
        <v>14</v>
      </c>
      <c r="AJ9" s="49">
        <f t="shared" si="4"/>
        <v>16</v>
      </c>
      <c r="AK9" s="84">
        <f t="shared" si="5"/>
        <v>43.63636364</v>
      </c>
    </row>
    <row r="10">
      <c r="A10" s="13" t="s">
        <v>48</v>
      </c>
      <c r="B10" s="69" t="s">
        <v>40</v>
      </c>
      <c r="C10" s="69" t="s">
        <v>39</v>
      </c>
      <c r="D10" s="69" t="s">
        <v>39</v>
      </c>
      <c r="E10" s="69" t="s">
        <v>40</v>
      </c>
      <c r="F10" s="69" t="s">
        <v>40</v>
      </c>
      <c r="G10" s="69" t="s">
        <v>38</v>
      </c>
      <c r="H10" s="69" t="s">
        <v>38</v>
      </c>
      <c r="I10" s="69" t="s">
        <v>40</v>
      </c>
      <c r="J10" s="69" t="s">
        <v>40</v>
      </c>
      <c r="K10" s="69" t="s">
        <v>39</v>
      </c>
      <c r="L10" s="69" t="s">
        <v>39</v>
      </c>
      <c r="M10" s="69" t="s">
        <v>44</v>
      </c>
      <c r="N10" s="69" t="s">
        <v>44</v>
      </c>
      <c r="O10" s="69" t="s">
        <v>44</v>
      </c>
      <c r="P10" s="69" t="s">
        <v>44</v>
      </c>
      <c r="Q10" s="69" t="s">
        <v>44</v>
      </c>
      <c r="R10" s="69" t="s">
        <v>40</v>
      </c>
      <c r="S10" s="69" t="s">
        <v>40</v>
      </c>
      <c r="T10" s="69" t="s">
        <v>60</v>
      </c>
      <c r="U10" s="69" t="s">
        <v>39</v>
      </c>
      <c r="V10" s="69" t="s">
        <v>40</v>
      </c>
      <c r="W10" s="70" t="s">
        <v>40</v>
      </c>
      <c r="X10" s="70" t="s">
        <v>38</v>
      </c>
      <c r="Y10" s="70" t="s">
        <v>38</v>
      </c>
      <c r="Z10" s="70" t="s">
        <v>40</v>
      </c>
      <c r="AA10" s="70" t="s">
        <v>40</v>
      </c>
      <c r="AB10" s="70" t="s">
        <v>39</v>
      </c>
      <c r="AC10" s="70" t="s">
        <v>39</v>
      </c>
      <c r="AD10" s="70" t="s">
        <v>40</v>
      </c>
      <c r="AE10" s="70" t="s">
        <v>38</v>
      </c>
      <c r="AF10" s="70" t="s">
        <v>40</v>
      </c>
      <c r="AG10" s="49">
        <f t="shared" si="1"/>
        <v>5</v>
      </c>
      <c r="AH10" s="49">
        <f t="shared" si="2"/>
        <v>7</v>
      </c>
      <c r="AI10" s="49">
        <f t="shared" si="3"/>
        <v>13</v>
      </c>
      <c r="AJ10" s="49">
        <f t="shared" si="4"/>
        <v>12</v>
      </c>
      <c r="AK10" s="84">
        <f t="shared" si="5"/>
        <v>32.72727273</v>
      </c>
    </row>
    <row r="11">
      <c r="A11" s="23" t="s">
        <v>49</v>
      </c>
      <c r="B11" s="24">
        <f t="shared" ref="B11:AF11" si="6">COUNTIF(B7:B10,"D")</f>
        <v>1</v>
      </c>
      <c r="C11" s="24">
        <f t="shared" si="6"/>
        <v>1</v>
      </c>
      <c r="D11" s="24">
        <f t="shared" si="6"/>
        <v>1</v>
      </c>
      <c r="E11" s="24">
        <f t="shared" si="6"/>
        <v>1</v>
      </c>
      <c r="F11" s="24">
        <f t="shared" si="6"/>
        <v>1</v>
      </c>
      <c r="G11" s="24">
        <f t="shared" si="6"/>
        <v>1</v>
      </c>
      <c r="H11" s="24">
        <f t="shared" si="6"/>
        <v>1</v>
      </c>
      <c r="I11" s="24">
        <f t="shared" si="6"/>
        <v>1</v>
      </c>
      <c r="J11" s="24">
        <f t="shared" si="6"/>
        <v>1</v>
      </c>
      <c r="K11" s="24">
        <f t="shared" si="6"/>
        <v>1</v>
      </c>
      <c r="L11" s="24">
        <f t="shared" si="6"/>
        <v>1</v>
      </c>
      <c r="M11" s="24">
        <f t="shared" si="6"/>
        <v>1</v>
      </c>
      <c r="N11" s="24">
        <f t="shared" si="6"/>
        <v>1</v>
      </c>
      <c r="O11" s="24">
        <f t="shared" si="6"/>
        <v>1</v>
      </c>
      <c r="P11" s="24">
        <f t="shared" si="6"/>
        <v>1</v>
      </c>
      <c r="Q11" s="24">
        <f t="shared" si="6"/>
        <v>1</v>
      </c>
      <c r="R11" s="24">
        <f t="shared" si="6"/>
        <v>1</v>
      </c>
      <c r="S11" s="24">
        <f t="shared" si="6"/>
        <v>1</v>
      </c>
      <c r="T11" s="24">
        <f t="shared" si="6"/>
        <v>1</v>
      </c>
      <c r="U11" s="24">
        <f t="shared" si="6"/>
        <v>1</v>
      </c>
      <c r="V11" s="24">
        <f t="shared" si="6"/>
        <v>1</v>
      </c>
      <c r="W11" s="24">
        <f t="shared" si="6"/>
        <v>1</v>
      </c>
      <c r="X11" s="24">
        <f t="shared" si="6"/>
        <v>1</v>
      </c>
      <c r="Y11" s="24">
        <f t="shared" si="6"/>
        <v>1</v>
      </c>
      <c r="Z11" s="24">
        <f t="shared" si="6"/>
        <v>1</v>
      </c>
      <c r="AA11" s="24">
        <f t="shared" si="6"/>
        <v>1</v>
      </c>
      <c r="AB11" s="24">
        <f t="shared" si="6"/>
        <v>1</v>
      </c>
      <c r="AC11" s="24">
        <f t="shared" si="6"/>
        <v>1</v>
      </c>
      <c r="AD11" s="24">
        <f t="shared" si="6"/>
        <v>1</v>
      </c>
      <c r="AE11" s="24">
        <f t="shared" si="6"/>
        <v>1</v>
      </c>
      <c r="AF11" s="24">
        <f t="shared" si="6"/>
        <v>1</v>
      </c>
    </row>
    <row r="12">
      <c r="A12" s="26" t="s">
        <v>50</v>
      </c>
      <c r="B12" s="27">
        <f t="shared" ref="B12:AF12" si="7">COUNTIF(B7:B10,"N")</f>
        <v>1</v>
      </c>
      <c r="C12" s="27">
        <f t="shared" si="7"/>
        <v>1</v>
      </c>
      <c r="D12" s="27">
        <f t="shared" si="7"/>
        <v>1</v>
      </c>
      <c r="E12" s="27">
        <f t="shared" si="7"/>
        <v>1</v>
      </c>
      <c r="F12" s="27">
        <f t="shared" si="7"/>
        <v>1</v>
      </c>
      <c r="G12" s="27">
        <f t="shared" si="7"/>
        <v>1</v>
      </c>
      <c r="H12" s="27">
        <f t="shared" si="7"/>
        <v>1</v>
      </c>
      <c r="I12" s="27">
        <f t="shared" si="7"/>
        <v>1</v>
      </c>
      <c r="J12" s="27">
        <f t="shared" si="7"/>
        <v>1</v>
      </c>
      <c r="K12" s="27">
        <f t="shared" si="7"/>
        <v>1</v>
      </c>
      <c r="L12" s="27">
        <f t="shared" si="7"/>
        <v>1</v>
      </c>
      <c r="M12" s="27">
        <f t="shared" si="7"/>
        <v>1</v>
      </c>
      <c r="N12" s="27">
        <f t="shared" si="7"/>
        <v>1</v>
      </c>
      <c r="O12" s="27">
        <f t="shared" si="7"/>
        <v>1</v>
      </c>
      <c r="P12" s="27">
        <f t="shared" si="7"/>
        <v>1</v>
      </c>
      <c r="Q12" s="27">
        <f t="shared" si="7"/>
        <v>1</v>
      </c>
      <c r="R12" s="27">
        <f t="shared" si="7"/>
        <v>1</v>
      </c>
      <c r="S12" s="27">
        <f t="shared" si="7"/>
        <v>1</v>
      </c>
      <c r="T12" s="27">
        <f t="shared" si="7"/>
        <v>1</v>
      </c>
      <c r="U12" s="27">
        <f t="shared" si="7"/>
        <v>1</v>
      </c>
      <c r="V12" s="27">
        <f t="shared" si="7"/>
        <v>1</v>
      </c>
      <c r="W12" s="27">
        <f t="shared" si="7"/>
        <v>1</v>
      </c>
      <c r="X12" s="27">
        <f t="shared" si="7"/>
        <v>1</v>
      </c>
      <c r="Y12" s="27">
        <f t="shared" si="7"/>
        <v>1</v>
      </c>
      <c r="Z12" s="27">
        <f t="shared" si="7"/>
        <v>1</v>
      </c>
      <c r="AA12" s="27">
        <f t="shared" si="7"/>
        <v>1</v>
      </c>
      <c r="AB12" s="27">
        <f t="shared" si="7"/>
        <v>1</v>
      </c>
      <c r="AC12" s="27">
        <f t="shared" si="7"/>
        <v>1</v>
      </c>
      <c r="AD12" s="27">
        <f t="shared" si="7"/>
        <v>1</v>
      </c>
      <c r="AE12" s="27">
        <f t="shared" si="7"/>
        <v>1</v>
      </c>
      <c r="AF12" s="27">
        <f t="shared" si="7"/>
        <v>1</v>
      </c>
    </row>
    <row r="13">
      <c r="I13" s="28"/>
      <c r="J13" s="28"/>
      <c r="K13" s="28"/>
      <c r="L13" s="28"/>
      <c r="M13" s="28"/>
      <c r="N13" s="28"/>
      <c r="O13" s="28"/>
      <c r="AG13" s="53"/>
      <c r="AH13" s="53"/>
      <c r="AI13" s="53"/>
      <c r="AJ13" s="53"/>
      <c r="AK13" s="53"/>
    </row>
    <row r="14">
      <c r="E14" s="29" t="s">
        <v>51</v>
      </c>
      <c r="F14" s="30"/>
      <c r="G14" s="30"/>
      <c r="H14" s="31"/>
      <c r="I14" s="32"/>
      <c r="J14" s="28"/>
      <c r="K14" s="28"/>
      <c r="L14" s="62"/>
      <c r="M14" s="28"/>
      <c r="N14" s="28"/>
      <c r="O14" s="28"/>
      <c r="AG14" s="22"/>
      <c r="AH14" s="22"/>
      <c r="AI14" s="22"/>
      <c r="AJ14" s="22"/>
      <c r="AK14" s="22"/>
    </row>
    <row r="15">
      <c r="E15" s="33" t="s">
        <v>38</v>
      </c>
      <c r="F15" s="1" t="s">
        <v>52</v>
      </c>
      <c r="H15" s="34"/>
      <c r="I15" s="28"/>
      <c r="J15" s="11"/>
      <c r="K15" s="11"/>
      <c r="L15" s="11"/>
      <c r="M15" s="9" t="s">
        <v>8</v>
      </c>
      <c r="N15" s="9" t="s">
        <v>2</v>
      </c>
      <c r="O15" s="9" t="s">
        <v>3</v>
      </c>
      <c r="P15" s="9" t="s">
        <v>4</v>
      </c>
      <c r="Q15" s="13"/>
      <c r="R15" s="11"/>
      <c r="S15" s="11"/>
      <c r="T15" s="11"/>
      <c r="U15" s="11"/>
      <c r="V15" s="11"/>
      <c r="W15" s="11"/>
      <c r="AG15" s="22"/>
      <c r="AH15" s="22"/>
      <c r="AI15" s="22"/>
      <c r="AJ15" s="22"/>
      <c r="AK15" s="22"/>
    </row>
    <row r="16">
      <c r="E16" s="33" t="s">
        <v>39</v>
      </c>
      <c r="F16" s="1" t="s">
        <v>53</v>
      </c>
      <c r="H16" s="34"/>
      <c r="J16" s="13"/>
      <c r="K16" s="13"/>
      <c r="L16" s="13"/>
      <c r="M16" s="13" t="s">
        <v>34</v>
      </c>
      <c r="N16" s="13" t="s">
        <v>35</v>
      </c>
      <c r="O16" s="13" t="s">
        <v>36</v>
      </c>
      <c r="P16" s="13" t="s">
        <v>37</v>
      </c>
      <c r="Q16" s="13"/>
      <c r="R16" s="70"/>
      <c r="S16" s="70"/>
      <c r="T16" s="70"/>
      <c r="U16" s="70"/>
      <c r="V16" s="71"/>
      <c r="W16" s="71"/>
      <c r="X16" s="71"/>
      <c r="Y16" s="71"/>
      <c r="Z16" s="71"/>
      <c r="AA16" s="71"/>
      <c r="AB16" s="71"/>
      <c r="AG16" s="22"/>
      <c r="AH16" s="22"/>
      <c r="AI16" s="22"/>
      <c r="AJ16" s="22"/>
      <c r="AK16" s="22"/>
    </row>
    <row r="17">
      <c r="E17" s="33" t="s">
        <v>41</v>
      </c>
      <c r="F17" s="1" t="s">
        <v>54</v>
      </c>
      <c r="H17" s="34"/>
      <c r="M17" s="68"/>
      <c r="N17" s="68"/>
      <c r="O17" s="68"/>
      <c r="P17" s="68"/>
      <c r="R17" s="60"/>
      <c r="S17" s="60"/>
      <c r="T17" s="61"/>
      <c r="U17" s="61"/>
      <c r="V17" s="70"/>
      <c r="W17" s="70"/>
      <c r="X17" s="70"/>
      <c r="Y17" s="70"/>
      <c r="Z17" s="70"/>
      <c r="AA17" s="70"/>
      <c r="AB17" s="70"/>
      <c r="AG17" s="22"/>
      <c r="AH17" s="22"/>
      <c r="AI17" s="22"/>
      <c r="AJ17" s="22"/>
      <c r="AK17" s="22"/>
    </row>
    <row r="18">
      <c r="E18" s="33" t="s">
        <v>55</v>
      </c>
      <c r="F18" s="1" t="s">
        <v>56</v>
      </c>
      <c r="H18" s="34"/>
      <c r="J18" s="19" t="s">
        <v>43</v>
      </c>
      <c r="M18" s="61" t="s">
        <v>39</v>
      </c>
      <c r="N18" s="70" t="s">
        <v>40</v>
      </c>
      <c r="O18" s="70" t="s">
        <v>40</v>
      </c>
      <c r="P18" s="70" t="s">
        <v>38</v>
      </c>
      <c r="Q18" s="19"/>
      <c r="R18" s="70"/>
      <c r="S18" s="70"/>
      <c r="T18" s="70"/>
      <c r="U18" s="70"/>
      <c r="V18" s="60"/>
      <c r="W18" s="60"/>
      <c r="X18" s="60"/>
      <c r="Y18" s="60"/>
      <c r="Z18" s="60"/>
      <c r="AA18" s="61"/>
      <c r="AB18" s="61"/>
    </row>
    <row r="19">
      <c r="E19" s="33" t="s">
        <v>40</v>
      </c>
      <c r="F19" s="1" t="s">
        <v>57</v>
      </c>
      <c r="H19" s="34"/>
      <c r="J19" s="13" t="s">
        <v>45</v>
      </c>
      <c r="K19" s="59"/>
      <c r="L19" s="59"/>
      <c r="M19" s="69" t="s">
        <v>38</v>
      </c>
      <c r="N19" s="60" t="s">
        <v>40</v>
      </c>
      <c r="O19" s="60" t="s">
        <v>40</v>
      </c>
      <c r="P19" s="60" t="s">
        <v>39</v>
      </c>
      <c r="Q19" s="13"/>
      <c r="R19" s="69"/>
      <c r="S19" s="69"/>
      <c r="T19" s="69"/>
      <c r="U19" s="69"/>
      <c r="V19" s="70"/>
      <c r="W19" s="70"/>
      <c r="X19" s="70"/>
      <c r="Y19" s="70"/>
      <c r="Z19" s="70"/>
      <c r="AA19" s="70"/>
      <c r="AB19" s="70"/>
    </row>
    <row r="20">
      <c r="E20" s="33" t="s">
        <v>58</v>
      </c>
      <c r="F20" s="1" t="s">
        <v>59</v>
      </c>
      <c r="H20" s="34"/>
      <c r="I20" s="72"/>
      <c r="J20" s="13" t="s">
        <v>73</v>
      </c>
      <c r="K20" s="73"/>
      <c r="L20" s="73"/>
      <c r="M20" s="70" t="s">
        <v>40</v>
      </c>
      <c r="N20" s="70" t="s">
        <v>39</v>
      </c>
      <c r="O20" s="70" t="s">
        <v>39</v>
      </c>
      <c r="P20" s="70" t="s">
        <v>40</v>
      </c>
      <c r="Q20" s="13"/>
      <c r="T20" s="20"/>
      <c r="U20" s="20"/>
      <c r="V20" s="20"/>
      <c r="W20" s="20"/>
      <c r="X20" s="13"/>
    </row>
    <row r="21">
      <c r="E21" s="33" t="s">
        <v>60</v>
      </c>
      <c r="F21" s="1" t="s">
        <v>61</v>
      </c>
      <c r="H21" s="34"/>
      <c r="I21" s="20"/>
      <c r="J21" s="13" t="s">
        <v>48</v>
      </c>
      <c r="K21" s="59"/>
      <c r="L21" s="59"/>
      <c r="M21" s="69" t="s">
        <v>40</v>
      </c>
      <c r="N21" s="69" t="s">
        <v>38</v>
      </c>
      <c r="O21" s="69" t="s">
        <v>38</v>
      </c>
      <c r="P21" s="69" t="s">
        <v>40</v>
      </c>
      <c r="Q21" s="13"/>
      <c r="T21" s="20"/>
      <c r="U21" s="20"/>
      <c r="V21" s="20"/>
      <c r="W21" s="20"/>
      <c r="X21" s="13"/>
    </row>
    <row r="22">
      <c r="E22" s="33" t="s">
        <v>44</v>
      </c>
      <c r="F22" s="1" t="s">
        <v>62</v>
      </c>
      <c r="H22" s="34"/>
      <c r="I22" s="20"/>
      <c r="J22" s="55"/>
      <c r="K22" s="55"/>
      <c r="L22" s="55"/>
      <c r="M22" s="55"/>
      <c r="N22" s="55"/>
      <c r="O22" s="55"/>
      <c r="P22" s="55"/>
      <c r="Q22" s="13"/>
      <c r="T22" s="20"/>
      <c r="U22" s="20"/>
      <c r="V22" s="20"/>
      <c r="W22" s="20"/>
      <c r="X22" s="13"/>
    </row>
    <row r="23">
      <c r="E23" s="33" t="s">
        <v>63</v>
      </c>
      <c r="F23" s="1" t="s">
        <v>64</v>
      </c>
      <c r="H23" s="34"/>
      <c r="K23" s="20"/>
      <c r="L23" s="20"/>
      <c r="M23" s="20"/>
      <c r="N23" s="20"/>
      <c r="O23" s="20"/>
      <c r="P23" s="20"/>
      <c r="Q23" s="20"/>
    </row>
    <row r="24">
      <c r="E24" s="33" t="s">
        <v>65</v>
      </c>
      <c r="F24" s="1" t="s">
        <v>66</v>
      </c>
      <c r="H24" s="34"/>
    </row>
    <row r="25">
      <c r="E25" s="33" t="s">
        <v>46</v>
      </c>
      <c r="F25" s="1" t="s">
        <v>67</v>
      </c>
      <c r="H25" s="34"/>
    </row>
    <row r="26">
      <c r="E26" s="35" t="s">
        <v>68</v>
      </c>
      <c r="F26" s="36" t="s">
        <v>69</v>
      </c>
      <c r="G26" s="8"/>
      <c r="H26" s="37"/>
    </row>
    <row r="29">
      <c r="A29" s="6"/>
      <c r="B29" s="11"/>
      <c r="C29" s="11"/>
      <c r="D29" s="11"/>
      <c r="E29" s="11"/>
      <c r="F29" s="11"/>
      <c r="G29" s="11"/>
      <c r="H29" s="11"/>
    </row>
    <row r="30">
      <c r="A30" s="12"/>
      <c r="B30" s="13"/>
      <c r="C30" s="13"/>
      <c r="D30" s="13"/>
      <c r="E30" s="13"/>
      <c r="F30" s="13"/>
      <c r="G30" s="13"/>
      <c r="H30" s="13"/>
    </row>
    <row r="31">
      <c r="A31" s="39"/>
      <c r="B31" s="20"/>
      <c r="C31" s="20"/>
      <c r="D31" s="20"/>
      <c r="E31" s="20"/>
      <c r="F31" s="20"/>
      <c r="G31" s="20"/>
      <c r="H31" s="20"/>
    </row>
    <row r="32">
      <c r="A32" s="13"/>
      <c r="B32" s="20"/>
      <c r="C32" s="20"/>
      <c r="D32" s="20"/>
      <c r="E32" s="20"/>
      <c r="F32" s="20"/>
      <c r="G32" s="20"/>
      <c r="H32" s="20"/>
    </row>
    <row r="33">
      <c r="A33" s="13"/>
      <c r="B33" s="20"/>
      <c r="C33" s="20"/>
      <c r="D33" s="20"/>
      <c r="E33" s="66"/>
      <c r="F33" s="66"/>
      <c r="G33" s="67"/>
      <c r="H33" s="67"/>
    </row>
    <row r="34">
      <c r="A34" s="13"/>
      <c r="B34" s="20"/>
      <c r="C34" s="20"/>
      <c r="D34" s="20"/>
      <c r="E34" s="20"/>
      <c r="F34" s="20"/>
      <c r="G34" s="20"/>
      <c r="H34" s="20"/>
    </row>
  </sheetData>
  <mergeCells count="14">
    <mergeCell ref="F20:H20"/>
    <mergeCell ref="F21:H21"/>
    <mergeCell ref="F22:H22"/>
    <mergeCell ref="F23:H23"/>
    <mergeCell ref="F24:H24"/>
    <mergeCell ref="F25:H25"/>
    <mergeCell ref="F26:H26"/>
    <mergeCell ref="B1:AC3"/>
    <mergeCell ref="E14:H14"/>
    <mergeCell ref="F15:H15"/>
    <mergeCell ref="F16:H16"/>
    <mergeCell ref="F17:H17"/>
    <mergeCell ref="F18:H18"/>
    <mergeCell ref="F19:H19"/>
  </mergeCells>
  <conditionalFormatting sqref="B9:H9 T20:W20">
    <cfRule type="cellIs" dxfId="0" priority="1" operator="equal">
      <formula>"X"</formula>
    </cfRule>
  </conditionalFormatting>
  <conditionalFormatting sqref="B9:H9 T20:W20">
    <cfRule type="cellIs" dxfId="1" priority="2" operator="equal">
      <formula>"D"</formula>
    </cfRule>
  </conditionalFormatting>
  <conditionalFormatting sqref="B9:H9 T20:W20">
    <cfRule type="cellIs" dxfId="2" priority="3" operator="equal">
      <formula>"N"</formula>
    </cfRule>
  </conditionalFormatting>
  <conditionalFormatting sqref="B9:H9 T20:W20">
    <cfRule type="cellIs" dxfId="3" priority="4" operator="equal">
      <formula>"OB"</formula>
    </cfRule>
  </conditionalFormatting>
  <conditionalFormatting sqref="B9:H9 T20:W20">
    <cfRule type="cellIs" dxfId="0" priority="5" operator="equal">
      <formula>"C"</formula>
    </cfRule>
  </conditionalFormatting>
  <conditionalFormatting sqref="B9:H9 T20:W20">
    <cfRule type="cellIs" dxfId="0" priority="6" operator="equal">
      <formula>"AL"</formula>
    </cfRule>
  </conditionalFormatting>
  <conditionalFormatting sqref="B9:H9 T20:W20">
    <cfRule type="cellIs" dxfId="4" priority="7" operator="equal">
      <formula>"UP"</formula>
    </cfRule>
  </conditionalFormatting>
  <conditionalFormatting sqref="B9:H9 T20:W20">
    <cfRule type="cellIs" dxfId="0" priority="8" operator="equal">
      <formula>"S"</formula>
    </cfRule>
  </conditionalFormatting>
  <conditionalFormatting sqref="B9:H9 T20:W20">
    <cfRule type="cellIs" dxfId="5" priority="9" operator="equal">
      <formula>"OC"</formula>
    </cfRule>
  </conditionalFormatting>
  <conditionalFormatting sqref="B9:H9 T20:W20">
    <cfRule type="cellIs" dxfId="6" priority="10" operator="equal">
      <formula>"SPV"</formula>
    </cfRule>
  </conditionalFormatting>
  <conditionalFormatting sqref="B9:H9 T20:W20">
    <cfRule type="cellIs" dxfId="7" priority="11" operator="equal">
      <formula>"INT"</formula>
    </cfRule>
  </conditionalFormatting>
  <conditionalFormatting sqref="B9:H9 T20:W20">
    <cfRule type="cellIs" dxfId="8" priority="12" operator="equal">
      <formula>"T"</formula>
    </cfRule>
  </conditionalFormatting>
  <conditionalFormatting sqref="B7:AF10 E15:E26 R16:AB19 K18:P23 I20:I22 T21:W22 J22 Q23 B31:H34 G36:J36">
    <cfRule type="cellIs" dxfId="0" priority="13" operator="equal">
      <formula>"X"</formula>
    </cfRule>
  </conditionalFormatting>
  <conditionalFormatting sqref="B7:AF10 E15:E26 R16:AB19 K18:P23 I20:I22 T21:W22 J22 Q23 B31:H34 G36:J36">
    <cfRule type="cellIs" dxfId="1" priority="14" operator="equal">
      <formula>"D"</formula>
    </cfRule>
  </conditionalFormatting>
  <conditionalFormatting sqref="B7:AF10 E15:E26 R16:AB19 K18:P23 I20:I22 T21:W22 J22 Q23 B31:H34 G36:J36">
    <cfRule type="cellIs" dxfId="2" priority="15" operator="equal">
      <formula>"N"</formula>
    </cfRule>
  </conditionalFormatting>
  <conditionalFormatting sqref="B7:AF10 E15:E26 R16:AB19 K18:P23 I20:I22 T21:W22 J22 Q23 B31:H34 G36:J36">
    <cfRule type="cellIs" dxfId="3" priority="16" operator="equal">
      <formula>"OB"</formula>
    </cfRule>
  </conditionalFormatting>
  <conditionalFormatting sqref="B7:AF10 E15:E26 R16:AB19 K18:P23 I20:I22 T21:W22 J22 Q23 B31:H34 G36:J36">
    <cfRule type="cellIs" dxfId="0" priority="17" operator="equal">
      <formula>"C"</formula>
    </cfRule>
  </conditionalFormatting>
  <conditionalFormatting sqref="B7:AF10 E15:E26 R16:AB19 K18:P23 I20:I22 T21:W22 J22 Q23 B31:H34 G36:J36">
    <cfRule type="cellIs" dxfId="0" priority="18" operator="equal">
      <formula>"AL"</formula>
    </cfRule>
  </conditionalFormatting>
  <conditionalFormatting sqref="B7:AF10 E15:E26 R16:AB19 K18:P23 I20:I22 T21:W22 J22 Q23 B31:H34 G36:J36">
    <cfRule type="cellIs" dxfId="4" priority="19" operator="equal">
      <formula>"UP"</formula>
    </cfRule>
  </conditionalFormatting>
  <conditionalFormatting sqref="B7:AF10 E15:E26 R16:AB19 K18:P23 I20:I22 T21:W22 J22 Q23 B31:H34 G36:J36">
    <cfRule type="cellIs" dxfId="0" priority="20" operator="equal">
      <formula>"S"</formula>
    </cfRule>
  </conditionalFormatting>
  <conditionalFormatting sqref="B7:AF10 E15:E26 R16:AB19 K18:P23 I20:I22 T21:W22 J22 Q23 B31:H34 G36:J36">
    <cfRule type="cellIs" dxfId="5" priority="21" operator="equal">
      <formula>"OC"</formula>
    </cfRule>
  </conditionalFormatting>
  <conditionalFormatting sqref="B7:AF10 E15:E26 R16:AB19 K18:P23 I20:I22 T21:W22 J22 Q23 B31:H34 G36:J36">
    <cfRule type="cellIs" dxfId="6" priority="22" operator="equal">
      <formula>"SPV"</formula>
    </cfRule>
  </conditionalFormatting>
  <conditionalFormatting sqref="B7:AF10 E15:E26 R16:AB19 K18:P23 I20:I22 T21:W22 J22 Q23 B31:H34 G36:J36">
    <cfRule type="cellIs" dxfId="7" priority="23" operator="equal">
      <formula>"INT"</formula>
    </cfRule>
  </conditionalFormatting>
  <conditionalFormatting sqref="B7:AF10 R16:AB19 K18:P22 T21:W22 J22">
    <cfRule type="cellIs" dxfId="8" priority="24" operator="equal">
      <formula>"T"</formula>
    </cfRule>
  </conditionalFormatting>
  <conditionalFormatting sqref="E25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112</v>
      </c>
      <c r="C4" s="10" t="s">
        <v>113</v>
      </c>
      <c r="D4" s="10" t="s">
        <v>114</v>
      </c>
      <c r="E4" s="10" t="s">
        <v>115</v>
      </c>
      <c r="F4" s="10" t="s">
        <v>116</v>
      </c>
      <c r="G4" s="10" t="s">
        <v>117</v>
      </c>
      <c r="H4" s="10" t="s">
        <v>118</v>
      </c>
      <c r="I4" s="10" t="s">
        <v>112</v>
      </c>
      <c r="J4" s="10" t="s">
        <v>113</v>
      </c>
      <c r="K4" s="10" t="s">
        <v>114</v>
      </c>
      <c r="L4" s="10" t="s">
        <v>115</v>
      </c>
      <c r="M4" s="10" t="s">
        <v>116</v>
      </c>
      <c r="N4" s="10" t="s">
        <v>117</v>
      </c>
      <c r="O4" s="10" t="s">
        <v>118</v>
      </c>
      <c r="P4" s="10" t="s">
        <v>112</v>
      </c>
      <c r="Q4" s="10" t="s">
        <v>113</v>
      </c>
      <c r="R4" s="10" t="s">
        <v>114</v>
      </c>
      <c r="S4" s="10" t="s">
        <v>115</v>
      </c>
      <c r="T4" s="10" t="s">
        <v>116</v>
      </c>
      <c r="U4" s="10" t="s">
        <v>117</v>
      </c>
      <c r="V4" s="10" t="s">
        <v>118</v>
      </c>
      <c r="W4" s="10" t="s">
        <v>112</v>
      </c>
      <c r="X4" s="10" t="s">
        <v>113</v>
      </c>
      <c r="Y4" s="10" t="s">
        <v>114</v>
      </c>
      <c r="Z4" s="10" t="s">
        <v>115</v>
      </c>
      <c r="AA4" s="10" t="s">
        <v>116</v>
      </c>
      <c r="AB4" s="10" t="s">
        <v>117</v>
      </c>
      <c r="AC4" s="10" t="s">
        <v>118</v>
      </c>
      <c r="AD4" s="10" t="s">
        <v>112</v>
      </c>
      <c r="AE4" s="10" t="s">
        <v>113</v>
      </c>
      <c r="AF4" s="10" t="s">
        <v>114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/>
      <c r="AG5" s="13"/>
      <c r="AH5" s="13"/>
      <c r="AI5" s="13"/>
      <c r="AJ5" s="13"/>
      <c r="AK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71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40</v>
      </c>
      <c r="C7" s="69" t="s">
        <v>38</v>
      </c>
      <c r="D7" s="69" t="s">
        <v>38</v>
      </c>
      <c r="E7" s="69" t="s">
        <v>40</v>
      </c>
      <c r="F7" s="69" t="s">
        <v>40</v>
      </c>
      <c r="G7" s="69" t="s">
        <v>39</v>
      </c>
      <c r="H7" s="69" t="s">
        <v>39</v>
      </c>
      <c r="I7" s="60" t="s">
        <v>40</v>
      </c>
      <c r="J7" s="60" t="s">
        <v>40</v>
      </c>
      <c r="K7" s="60" t="s">
        <v>38</v>
      </c>
      <c r="L7" s="60" t="s">
        <v>38</v>
      </c>
      <c r="M7" s="60" t="s">
        <v>40</v>
      </c>
      <c r="N7" s="61" t="s">
        <v>40</v>
      </c>
      <c r="O7" s="61" t="s">
        <v>39</v>
      </c>
      <c r="P7" s="70" t="s">
        <v>39</v>
      </c>
      <c r="Q7" s="70" t="s">
        <v>40</v>
      </c>
      <c r="R7" s="70" t="s">
        <v>40</v>
      </c>
      <c r="S7" s="70" t="s">
        <v>38</v>
      </c>
      <c r="T7" s="70" t="s">
        <v>38</v>
      </c>
      <c r="U7" s="70" t="s">
        <v>40</v>
      </c>
      <c r="V7" s="70" t="s">
        <v>40</v>
      </c>
      <c r="W7" s="71" t="s">
        <v>39</v>
      </c>
      <c r="X7" s="71" t="s">
        <v>39</v>
      </c>
      <c r="Y7" s="71" t="s">
        <v>40</v>
      </c>
      <c r="Z7" s="71" t="s">
        <v>40</v>
      </c>
      <c r="AA7" s="71" t="s">
        <v>38</v>
      </c>
      <c r="AB7" s="71" t="s">
        <v>38</v>
      </c>
      <c r="AC7" s="71" t="s">
        <v>40</v>
      </c>
      <c r="AD7" s="71" t="s">
        <v>40</v>
      </c>
      <c r="AE7" s="71" t="s">
        <v>39</v>
      </c>
      <c r="AF7" s="71"/>
      <c r="AG7" s="49">
        <f t="shared" ref="AG7:AG10" si="1">COUNTIF(B7:AF7,"D")</f>
        <v>8</v>
      </c>
      <c r="AH7" s="49">
        <f t="shared" ref="AH7:AH10" si="2">COUNTIF(B7:AF7,"N")</f>
        <v>7</v>
      </c>
      <c r="AI7" s="49">
        <f t="shared" ref="AI7:AI10" si="3">COUNTIF(B7:AF7,"X")</f>
        <v>15</v>
      </c>
      <c r="AJ7" s="49">
        <f t="shared" ref="AJ7:AJ10" si="4">AG7+AH7</f>
        <v>15</v>
      </c>
      <c r="AK7" s="84">
        <f t="shared" ref="AK7:AK10" si="5">(AJ7*12)/4.4</f>
        <v>40.90909091</v>
      </c>
    </row>
    <row r="8">
      <c r="A8" s="13" t="s">
        <v>45</v>
      </c>
      <c r="B8" s="69" t="s">
        <v>39</v>
      </c>
      <c r="C8" s="69" t="s">
        <v>40</v>
      </c>
      <c r="D8" s="69" t="s">
        <v>40</v>
      </c>
      <c r="E8" s="69" t="s">
        <v>38</v>
      </c>
      <c r="F8" s="69" t="s">
        <v>38</v>
      </c>
      <c r="G8" s="69" t="s">
        <v>40</v>
      </c>
      <c r="H8" s="69" t="s">
        <v>40</v>
      </c>
      <c r="I8" s="69" t="s">
        <v>39</v>
      </c>
      <c r="J8" s="69" t="s">
        <v>39</v>
      </c>
      <c r="K8" s="69" t="s">
        <v>40</v>
      </c>
      <c r="L8" s="69" t="s">
        <v>40</v>
      </c>
      <c r="M8" s="69" t="s">
        <v>38</v>
      </c>
      <c r="N8" s="69" t="s">
        <v>38</v>
      </c>
      <c r="O8" s="69" t="s">
        <v>40</v>
      </c>
      <c r="P8" s="60" t="s">
        <v>40</v>
      </c>
      <c r="Q8" s="60" t="s">
        <v>39</v>
      </c>
      <c r="R8" s="60" t="s">
        <v>39</v>
      </c>
      <c r="S8" s="60" t="s">
        <v>40</v>
      </c>
      <c r="T8" s="60" t="s">
        <v>40</v>
      </c>
      <c r="U8" s="61" t="s">
        <v>38</v>
      </c>
      <c r="V8" s="61" t="s">
        <v>38</v>
      </c>
      <c r="W8" s="70" t="s">
        <v>40</v>
      </c>
      <c r="X8" s="70" t="s">
        <v>40</v>
      </c>
      <c r="Y8" s="70" t="s">
        <v>39</v>
      </c>
      <c r="Z8" s="70" t="s">
        <v>39</v>
      </c>
      <c r="AA8" s="70" t="s">
        <v>40</v>
      </c>
      <c r="AB8" s="70" t="s">
        <v>40</v>
      </c>
      <c r="AC8" s="70" t="s">
        <v>38</v>
      </c>
      <c r="AD8" s="70" t="s">
        <v>38</v>
      </c>
      <c r="AE8" s="70" t="s">
        <v>40</v>
      </c>
      <c r="AF8" s="70"/>
      <c r="AG8" s="49">
        <f t="shared" si="1"/>
        <v>8</v>
      </c>
      <c r="AH8" s="49">
        <f t="shared" si="2"/>
        <v>7</v>
      </c>
      <c r="AI8" s="49">
        <f t="shared" si="3"/>
        <v>15</v>
      </c>
      <c r="AJ8" s="49">
        <f t="shared" si="4"/>
        <v>15</v>
      </c>
      <c r="AK8" s="84">
        <f t="shared" si="5"/>
        <v>40.90909091</v>
      </c>
    </row>
    <row r="9">
      <c r="A9" s="13" t="s">
        <v>73</v>
      </c>
      <c r="B9" s="60" t="s">
        <v>40</v>
      </c>
      <c r="C9" s="60" t="s">
        <v>39</v>
      </c>
      <c r="D9" s="60" t="s">
        <v>39</v>
      </c>
      <c r="E9" s="60" t="s">
        <v>40</v>
      </c>
      <c r="F9" s="60" t="s">
        <v>40</v>
      </c>
      <c r="G9" s="61" t="s">
        <v>38</v>
      </c>
      <c r="H9" s="61" t="s">
        <v>38</v>
      </c>
      <c r="I9" s="70" t="s">
        <v>40</v>
      </c>
      <c r="J9" s="70" t="s">
        <v>40</v>
      </c>
      <c r="K9" s="70" t="s">
        <v>39</v>
      </c>
      <c r="L9" s="70" t="s">
        <v>39</v>
      </c>
      <c r="M9" s="70" t="s">
        <v>40</v>
      </c>
      <c r="N9" s="70" t="s">
        <v>40</v>
      </c>
      <c r="O9" s="70" t="s">
        <v>38</v>
      </c>
      <c r="P9" s="70" t="s">
        <v>38</v>
      </c>
      <c r="Q9" s="70" t="s">
        <v>40</v>
      </c>
      <c r="R9" s="70" t="s">
        <v>40</v>
      </c>
      <c r="S9" s="70" t="s">
        <v>39</v>
      </c>
      <c r="T9" s="70" t="s">
        <v>39</v>
      </c>
      <c r="U9" s="70" t="s">
        <v>40</v>
      </c>
      <c r="V9" s="70" t="s">
        <v>40</v>
      </c>
      <c r="W9" s="60" t="s">
        <v>38</v>
      </c>
      <c r="X9" s="60" t="s">
        <v>38</v>
      </c>
      <c r="Y9" s="60" t="s">
        <v>40</v>
      </c>
      <c r="Z9" s="60" t="s">
        <v>40</v>
      </c>
      <c r="AA9" s="60" t="s">
        <v>39</v>
      </c>
      <c r="AB9" s="61" t="s">
        <v>39</v>
      </c>
      <c r="AC9" s="61" t="s">
        <v>40</v>
      </c>
      <c r="AD9" s="61" t="s">
        <v>40</v>
      </c>
      <c r="AE9" s="61" t="s">
        <v>38</v>
      </c>
      <c r="AG9" s="49">
        <f t="shared" si="1"/>
        <v>7</v>
      </c>
      <c r="AH9" s="49">
        <f t="shared" si="2"/>
        <v>8</v>
      </c>
      <c r="AI9" s="49">
        <f t="shared" si="3"/>
        <v>15</v>
      </c>
      <c r="AJ9" s="49">
        <f t="shared" si="4"/>
        <v>15</v>
      </c>
      <c r="AK9" s="84">
        <f t="shared" si="5"/>
        <v>40.90909091</v>
      </c>
    </row>
    <row r="10">
      <c r="A10" s="13" t="s">
        <v>48</v>
      </c>
      <c r="B10" s="69" t="s">
        <v>38</v>
      </c>
      <c r="C10" s="69" t="s">
        <v>40</v>
      </c>
      <c r="D10" s="69" t="s">
        <v>40</v>
      </c>
      <c r="E10" s="69" t="s">
        <v>39</v>
      </c>
      <c r="F10" s="69" t="s">
        <v>39</v>
      </c>
      <c r="G10" s="69" t="s">
        <v>40</v>
      </c>
      <c r="H10" s="69" t="s">
        <v>40</v>
      </c>
      <c r="I10" s="69" t="s">
        <v>38</v>
      </c>
      <c r="J10" s="69" t="s">
        <v>38</v>
      </c>
      <c r="K10" s="69" t="s">
        <v>40</v>
      </c>
      <c r="L10" s="69" t="s">
        <v>40</v>
      </c>
      <c r="M10" s="69" t="s">
        <v>39</v>
      </c>
      <c r="N10" s="69" t="s">
        <v>39</v>
      </c>
      <c r="O10" s="69" t="s">
        <v>40</v>
      </c>
      <c r="P10" s="69" t="s">
        <v>40</v>
      </c>
      <c r="Q10" s="69" t="s">
        <v>38</v>
      </c>
      <c r="R10" s="69" t="s">
        <v>38</v>
      </c>
      <c r="S10" s="69" t="s">
        <v>40</v>
      </c>
      <c r="T10" s="69" t="s">
        <v>40</v>
      </c>
      <c r="U10" s="69" t="s">
        <v>39</v>
      </c>
      <c r="V10" s="69" t="s">
        <v>39</v>
      </c>
      <c r="W10" s="70" t="s">
        <v>40</v>
      </c>
      <c r="X10" s="70" t="s">
        <v>40</v>
      </c>
      <c r="Y10" s="70" t="s">
        <v>38</v>
      </c>
      <c r="Z10" s="70" t="s">
        <v>38</v>
      </c>
      <c r="AA10" s="70" t="s">
        <v>40</v>
      </c>
      <c r="AB10" s="70" t="s">
        <v>40</v>
      </c>
      <c r="AC10" s="70" t="s">
        <v>39</v>
      </c>
      <c r="AD10" s="70" t="s">
        <v>39</v>
      </c>
      <c r="AE10" s="70" t="s">
        <v>40</v>
      </c>
      <c r="AF10" s="61"/>
      <c r="AG10" s="49">
        <f t="shared" si="1"/>
        <v>7</v>
      </c>
      <c r="AH10" s="49">
        <f t="shared" si="2"/>
        <v>8</v>
      </c>
      <c r="AI10" s="49">
        <f t="shared" si="3"/>
        <v>15</v>
      </c>
      <c r="AJ10" s="49">
        <f t="shared" si="4"/>
        <v>15</v>
      </c>
      <c r="AK10" s="84">
        <f t="shared" si="5"/>
        <v>40.90909091</v>
      </c>
    </row>
    <row r="11">
      <c r="A11" s="23" t="s">
        <v>49</v>
      </c>
      <c r="B11" s="24">
        <f t="shared" ref="B11:AF11" si="6">COUNTIF(B7:B10,"D")</f>
        <v>1</v>
      </c>
      <c r="C11" s="24">
        <f t="shared" si="6"/>
        <v>1</v>
      </c>
      <c r="D11" s="24">
        <f t="shared" si="6"/>
        <v>1</v>
      </c>
      <c r="E11" s="24">
        <f t="shared" si="6"/>
        <v>1</v>
      </c>
      <c r="F11" s="24">
        <f t="shared" si="6"/>
        <v>1</v>
      </c>
      <c r="G11" s="24">
        <f t="shared" si="6"/>
        <v>1</v>
      </c>
      <c r="H11" s="24">
        <f t="shared" si="6"/>
        <v>1</v>
      </c>
      <c r="I11" s="24">
        <f t="shared" si="6"/>
        <v>1</v>
      </c>
      <c r="J11" s="24">
        <f t="shared" si="6"/>
        <v>1</v>
      </c>
      <c r="K11" s="24">
        <f t="shared" si="6"/>
        <v>1</v>
      </c>
      <c r="L11" s="24">
        <f t="shared" si="6"/>
        <v>1</v>
      </c>
      <c r="M11" s="24">
        <f t="shared" si="6"/>
        <v>1</v>
      </c>
      <c r="N11" s="24">
        <f t="shared" si="6"/>
        <v>1</v>
      </c>
      <c r="O11" s="24">
        <f t="shared" si="6"/>
        <v>1</v>
      </c>
      <c r="P11" s="24">
        <f t="shared" si="6"/>
        <v>1</v>
      </c>
      <c r="Q11" s="24">
        <f t="shared" si="6"/>
        <v>1</v>
      </c>
      <c r="R11" s="24">
        <f t="shared" si="6"/>
        <v>1</v>
      </c>
      <c r="S11" s="24">
        <f t="shared" si="6"/>
        <v>1</v>
      </c>
      <c r="T11" s="24">
        <f t="shared" si="6"/>
        <v>1</v>
      </c>
      <c r="U11" s="24">
        <f t="shared" si="6"/>
        <v>1</v>
      </c>
      <c r="V11" s="24">
        <f t="shared" si="6"/>
        <v>1</v>
      </c>
      <c r="W11" s="24">
        <f t="shared" si="6"/>
        <v>1</v>
      </c>
      <c r="X11" s="24">
        <f t="shared" si="6"/>
        <v>1</v>
      </c>
      <c r="Y11" s="24">
        <f t="shared" si="6"/>
        <v>1</v>
      </c>
      <c r="Z11" s="24">
        <f t="shared" si="6"/>
        <v>1</v>
      </c>
      <c r="AA11" s="24">
        <f t="shared" si="6"/>
        <v>1</v>
      </c>
      <c r="AB11" s="24">
        <f t="shared" si="6"/>
        <v>1</v>
      </c>
      <c r="AC11" s="24">
        <f t="shared" si="6"/>
        <v>1</v>
      </c>
      <c r="AD11" s="24">
        <f t="shared" si="6"/>
        <v>1</v>
      </c>
      <c r="AE11" s="24">
        <f t="shared" si="6"/>
        <v>1</v>
      </c>
      <c r="AF11" s="24">
        <f t="shared" si="6"/>
        <v>0</v>
      </c>
    </row>
    <row r="12">
      <c r="A12" s="26" t="s">
        <v>50</v>
      </c>
      <c r="B12" s="27">
        <f t="shared" ref="B12:AF12" si="7">COUNTIF(B7:B10,"N")</f>
        <v>1</v>
      </c>
      <c r="C12" s="27">
        <f t="shared" si="7"/>
        <v>1</v>
      </c>
      <c r="D12" s="27">
        <f t="shared" si="7"/>
        <v>1</v>
      </c>
      <c r="E12" s="27">
        <f t="shared" si="7"/>
        <v>1</v>
      </c>
      <c r="F12" s="27">
        <f t="shared" si="7"/>
        <v>1</v>
      </c>
      <c r="G12" s="27">
        <f t="shared" si="7"/>
        <v>1</v>
      </c>
      <c r="H12" s="27">
        <f t="shared" si="7"/>
        <v>1</v>
      </c>
      <c r="I12" s="27">
        <f t="shared" si="7"/>
        <v>1</v>
      </c>
      <c r="J12" s="27">
        <f t="shared" si="7"/>
        <v>1</v>
      </c>
      <c r="K12" s="27">
        <f t="shared" si="7"/>
        <v>1</v>
      </c>
      <c r="L12" s="27">
        <f t="shared" si="7"/>
        <v>1</v>
      </c>
      <c r="M12" s="27">
        <f t="shared" si="7"/>
        <v>1</v>
      </c>
      <c r="N12" s="27">
        <f t="shared" si="7"/>
        <v>1</v>
      </c>
      <c r="O12" s="27">
        <f t="shared" si="7"/>
        <v>1</v>
      </c>
      <c r="P12" s="27">
        <f t="shared" si="7"/>
        <v>1</v>
      </c>
      <c r="Q12" s="27">
        <f t="shared" si="7"/>
        <v>1</v>
      </c>
      <c r="R12" s="27">
        <f t="shared" si="7"/>
        <v>1</v>
      </c>
      <c r="S12" s="27">
        <f t="shared" si="7"/>
        <v>1</v>
      </c>
      <c r="T12" s="27">
        <f t="shared" si="7"/>
        <v>1</v>
      </c>
      <c r="U12" s="27">
        <f t="shared" si="7"/>
        <v>1</v>
      </c>
      <c r="V12" s="27">
        <f t="shared" si="7"/>
        <v>1</v>
      </c>
      <c r="W12" s="27">
        <f t="shared" si="7"/>
        <v>1</v>
      </c>
      <c r="X12" s="27">
        <f t="shared" si="7"/>
        <v>1</v>
      </c>
      <c r="Y12" s="27">
        <f t="shared" si="7"/>
        <v>1</v>
      </c>
      <c r="Z12" s="27">
        <f t="shared" si="7"/>
        <v>1</v>
      </c>
      <c r="AA12" s="27">
        <f t="shared" si="7"/>
        <v>1</v>
      </c>
      <c r="AB12" s="27">
        <f t="shared" si="7"/>
        <v>1</v>
      </c>
      <c r="AC12" s="27">
        <f t="shared" si="7"/>
        <v>1</v>
      </c>
      <c r="AD12" s="27">
        <f t="shared" si="7"/>
        <v>1</v>
      </c>
      <c r="AE12" s="27">
        <f t="shared" si="7"/>
        <v>1</v>
      </c>
      <c r="AF12" s="27">
        <f t="shared" si="7"/>
        <v>0</v>
      </c>
    </row>
    <row r="13">
      <c r="I13" s="28"/>
      <c r="J13" s="28"/>
      <c r="K13" s="28"/>
      <c r="L13" s="28"/>
      <c r="M13" s="28"/>
      <c r="N13" s="28"/>
      <c r="O13" s="28"/>
      <c r="AG13" s="53"/>
      <c r="AH13" s="53"/>
      <c r="AI13" s="53"/>
      <c r="AJ13" s="53"/>
      <c r="AK13" s="53"/>
    </row>
    <row r="14">
      <c r="E14" s="29" t="s">
        <v>51</v>
      </c>
      <c r="F14" s="30"/>
      <c r="G14" s="30"/>
      <c r="H14" s="31"/>
      <c r="I14" s="32"/>
      <c r="J14" s="28"/>
      <c r="K14" s="28"/>
      <c r="L14" s="62"/>
      <c r="M14" s="28"/>
      <c r="N14" s="28"/>
      <c r="O14" s="28"/>
      <c r="AG14" s="22"/>
      <c r="AH14" s="22"/>
      <c r="AI14" s="22"/>
      <c r="AJ14" s="22"/>
      <c r="AK14" s="22"/>
    </row>
    <row r="15">
      <c r="E15" s="33" t="s">
        <v>38</v>
      </c>
      <c r="F15" s="1" t="s">
        <v>52</v>
      </c>
      <c r="H15" s="34"/>
      <c r="I15" s="28"/>
      <c r="J15" s="11"/>
      <c r="K15" s="11"/>
      <c r="L15" s="11"/>
      <c r="M15" s="11"/>
      <c r="N15" s="11"/>
      <c r="O15" s="11"/>
      <c r="P15" s="11"/>
      <c r="Q15" s="13"/>
      <c r="R15" s="11"/>
      <c r="S15" s="11"/>
      <c r="T15" s="11"/>
      <c r="U15" s="11"/>
      <c r="V15" s="11"/>
      <c r="W15" s="11"/>
      <c r="AG15" s="22"/>
      <c r="AH15" s="22"/>
      <c r="AI15" s="22"/>
      <c r="AJ15" s="22"/>
      <c r="AK15" s="22"/>
    </row>
    <row r="16">
      <c r="E16" s="33" t="s">
        <v>39</v>
      </c>
      <c r="F16" s="1" t="s">
        <v>53</v>
      </c>
      <c r="H16" s="34"/>
      <c r="J16" s="13"/>
      <c r="K16" s="13"/>
      <c r="L16" s="13"/>
      <c r="M16" s="13"/>
      <c r="N16" s="13"/>
      <c r="O16" s="13"/>
      <c r="P16" s="13"/>
      <c r="Q16" s="13"/>
      <c r="R16" s="70"/>
      <c r="S16" s="70"/>
      <c r="T16" s="70"/>
      <c r="U16" s="70"/>
      <c r="V16" s="71"/>
      <c r="W16" s="71"/>
      <c r="X16" s="71"/>
      <c r="Y16" s="71"/>
      <c r="Z16" s="71"/>
      <c r="AA16" s="71"/>
      <c r="AB16" s="71"/>
      <c r="AG16" s="22"/>
      <c r="AH16" s="22"/>
      <c r="AI16" s="22"/>
      <c r="AJ16" s="22"/>
      <c r="AK16" s="22"/>
    </row>
    <row r="17">
      <c r="E17" s="33" t="s">
        <v>41</v>
      </c>
      <c r="F17" s="1" t="s">
        <v>54</v>
      </c>
      <c r="H17" s="34"/>
      <c r="M17" s="68"/>
      <c r="N17" s="68"/>
      <c r="O17" s="68"/>
      <c r="P17" s="68"/>
      <c r="R17" s="60"/>
      <c r="S17" s="60"/>
      <c r="T17" s="61"/>
      <c r="U17" s="61"/>
      <c r="V17" s="70"/>
      <c r="W17" s="70"/>
      <c r="X17" s="70"/>
      <c r="Y17" s="70"/>
      <c r="Z17" s="70"/>
      <c r="AA17" s="70"/>
      <c r="AB17" s="70"/>
      <c r="AG17" s="22"/>
      <c r="AH17" s="22"/>
      <c r="AI17" s="22"/>
      <c r="AJ17" s="22"/>
      <c r="AK17" s="22"/>
    </row>
    <row r="18">
      <c r="E18" s="33" t="s">
        <v>55</v>
      </c>
      <c r="F18" s="1" t="s">
        <v>56</v>
      </c>
      <c r="H18" s="34"/>
      <c r="J18" s="19"/>
      <c r="M18" s="61"/>
      <c r="N18" s="70"/>
      <c r="O18" s="70"/>
      <c r="P18" s="70"/>
      <c r="Q18" s="19"/>
      <c r="R18" s="70"/>
      <c r="S18" s="70"/>
      <c r="T18" s="70"/>
      <c r="U18" s="70"/>
      <c r="V18" s="60"/>
      <c r="W18" s="60"/>
      <c r="X18" s="60"/>
      <c r="Y18" s="60"/>
      <c r="Z18" s="60"/>
      <c r="AA18" s="61"/>
      <c r="AB18" s="61"/>
    </row>
    <row r="19">
      <c r="E19" s="33" t="s">
        <v>40</v>
      </c>
      <c r="F19" s="1" t="s">
        <v>57</v>
      </c>
      <c r="H19" s="34"/>
      <c r="J19" s="13"/>
      <c r="K19" s="59"/>
      <c r="L19" s="59"/>
      <c r="M19" s="69"/>
      <c r="N19" s="60"/>
      <c r="O19" s="60"/>
      <c r="P19" s="60"/>
      <c r="Q19" s="13"/>
      <c r="R19" s="69"/>
      <c r="S19" s="69"/>
      <c r="T19" s="69"/>
      <c r="U19" s="69"/>
      <c r="V19" s="70"/>
      <c r="W19" s="70"/>
      <c r="X19" s="70"/>
      <c r="Y19" s="70"/>
      <c r="Z19" s="70"/>
      <c r="AA19" s="70"/>
      <c r="AB19" s="70"/>
    </row>
    <row r="20">
      <c r="E20" s="33" t="s">
        <v>58</v>
      </c>
      <c r="F20" s="1" t="s">
        <v>59</v>
      </c>
      <c r="H20" s="34"/>
      <c r="I20" s="72"/>
      <c r="J20" s="13"/>
      <c r="K20" s="73"/>
      <c r="L20" s="73"/>
      <c r="M20" s="70"/>
      <c r="N20" s="70"/>
      <c r="O20" s="70"/>
      <c r="P20" s="70"/>
      <c r="Q20" s="13"/>
      <c r="T20" s="20"/>
      <c r="U20" s="20"/>
      <c r="V20" s="20"/>
      <c r="W20" s="20"/>
      <c r="X20" s="13"/>
    </row>
    <row r="21">
      <c r="E21" s="33" t="s">
        <v>60</v>
      </c>
      <c r="F21" s="1" t="s">
        <v>61</v>
      </c>
      <c r="H21" s="34"/>
      <c r="I21" s="20"/>
      <c r="J21" s="13"/>
      <c r="K21" s="59"/>
      <c r="L21" s="59"/>
      <c r="M21" s="69"/>
      <c r="N21" s="69"/>
      <c r="O21" s="69"/>
      <c r="P21" s="69"/>
      <c r="Q21" s="13"/>
      <c r="T21" s="20"/>
      <c r="U21" s="20"/>
      <c r="V21" s="20"/>
      <c r="W21" s="20"/>
      <c r="X21" s="13"/>
    </row>
    <row r="22">
      <c r="E22" s="33" t="s">
        <v>44</v>
      </c>
      <c r="F22" s="1" t="s">
        <v>62</v>
      </c>
      <c r="H22" s="34"/>
      <c r="I22" s="20"/>
      <c r="J22" s="55"/>
      <c r="K22" s="55"/>
      <c r="L22" s="55"/>
      <c r="M22" s="55"/>
      <c r="N22" s="55"/>
      <c r="O22" s="55"/>
      <c r="P22" s="55"/>
      <c r="Q22" s="13"/>
      <c r="T22" s="20"/>
      <c r="U22" s="20"/>
      <c r="V22" s="20"/>
      <c r="W22" s="20"/>
      <c r="X22" s="13"/>
    </row>
    <row r="23">
      <c r="E23" s="33" t="s">
        <v>63</v>
      </c>
      <c r="F23" s="1" t="s">
        <v>64</v>
      </c>
      <c r="H23" s="34"/>
      <c r="K23" s="20"/>
      <c r="L23" s="20"/>
      <c r="M23" s="20"/>
      <c r="N23" s="20"/>
      <c r="O23" s="20"/>
      <c r="P23" s="20"/>
      <c r="Q23" s="20"/>
    </row>
    <row r="24">
      <c r="E24" s="33" t="s">
        <v>65</v>
      </c>
      <c r="F24" s="1" t="s">
        <v>66</v>
      </c>
      <c r="H24" s="34"/>
    </row>
    <row r="25">
      <c r="E25" s="33" t="s">
        <v>46</v>
      </c>
      <c r="F25" s="1" t="s">
        <v>67</v>
      </c>
      <c r="H25" s="34"/>
    </row>
    <row r="26">
      <c r="E26" s="35" t="s">
        <v>68</v>
      </c>
      <c r="F26" s="36" t="s">
        <v>69</v>
      </c>
      <c r="G26" s="8"/>
      <c r="H26" s="37"/>
    </row>
    <row r="29">
      <c r="A29" s="6"/>
      <c r="B29" s="11"/>
      <c r="C29" s="11"/>
      <c r="D29" s="11"/>
      <c r="E29" s="11"/>
      <c r="F29" s="11"/>
      <c r="G29" s="11"/>
      <c r="H29" s="11"/>
    </row>
    <row r="30">
      <c r="A30" s="12"/>
      <c r="B30" s="13"/>
      <c r="C30" s="13"/>
      <c r="D30" s="13"/>
      <c r="E30" s="13"/>
      <c r="F30" s="13"/>
      <c r="G30" s="13"/>
      <c r="H30" s="13"/>
    </row>
    <row r="31">
      <c r="A31" s="39"/>
      <c r="B31" s="20"/>
      <c r="C31" s="20"/>
      <c r="D31" s="20"/>
      <c r="E31" s="20"/>
      <c r="F31" s="20"/>
      <c r="G31" s="20"/>
      <c r="H31" s="20"/>
    </row>
    <row r="32">
      <c r="A32" s="13"/>
      <c r="B32" s="20"/>
      <c r="C32" s="20"/>
      <c r="D32" s="20"/>
      <c r="E32" s="20"/>
      <c r="F32" s="20"/>
      <c r="G32" s="20"/>
      <c r="H32" s="20"/>
    </row>
    <row r="33">
      <c r="A33" s="13"/>
      <c r="B33" s="20"/>
      <c r="C33" s="20"/>
      <c r="D33" s="20"/>
      <c r="E33" s="66"/>
      <c r="F33" s="66"/>
      <c r="G33" s="67"/>
      <c r="H33" s="67"/>
    </row>
    <row r="34">
      <c r="A34" s="13"/>
      <c r="B34" s="20"/>
      <c r="C34" s="20"/>
      <c r="D34" s="20"/>
      <c r="E34" s="20"/>
      <c r="F34" s="20"/>
      <c r="G34" s="20"/>
      <c r="H34" s="20"/>
    </row>
  </sheetData>
  <mergeCells count="14">
    <mergeCell ref="F20:H20"/>
    <mergeCell ref="F21:H21"/>
    <mergeCell ref="F22:H22"/>
    <mergeCell ref="F23:H23"/>
    <mergeCell ref="F24:H24"/>
    <mergeCell ref="F25:H25"/>
    <mergeCell ref="F26:H26"/>
    <mergeCell ref="B1:AC3"/>
    <mergeCell ref="E14:H14"/>
    <mergeCell ref="F15:H15"/>
    <mergeCell ref="F16:H16"/>
    <mergeCell ref="F17:H17"/>
    <mergeCell ref="F18:H18"/>
    <mergeCell ref="F19:H19"/>
  </mergeCells>
  <conditionalFormatting sqref="B9:H9 T20:W20">
    <cfRule type="cellIs" dxfId="0" priority="1" operator="equal">
      <formula>"X"</formula>
    </cfRule>
  </conditionalFormatting>
  <conditionalFormatting sqref="B9:H9 T20:W20">
    <cfRule type="cellIs" dxfId="1" priority="2" operator="equal">
      <formula>"D"</formula>
    </cfRule>
  </conditionalFormatting>
  <conditionalFormatting sqref="B9:H9 T20:W20">
    <cfRule type="cellIs" dxfId="2" priority="3" operator="equal">
      <formula>"N"</formula>
    </cfRule>
  </conditionalFormatting>
  <conditionalFormatting sqref="B9:H9 T20:W20">
    <cfRule type="cellIs" dxfId="3" priority="4" operator="equal">
      <formula>"OB"</formula>
    </cfRule>
  </conditionalFormatting>
  <conditionalFormatting sqref="B9:H9 T20:W20">
    <cfRule type="cellIs" dxfId="0" priority="5" operator="equal">
      <formula>"C"</formula>
    </cfRule>
  </conditionalFormatting>
  <conditionalFormatting sqref="B9:H9 T20:W20">
    <cfRule type="cellIs" dxfId="0" priority="6" operator="equal">
      <formula>"AL"</formula>
    </cfRule>
  </conditionalFormatting>
  <conditionalFormatting sqref="B9:H9 T20:W20">
    <cfRule type="cellIs" dxfId="4" priority="7" operator="equal">
      <formula>"UP"</formula>
    </cfRule>
  </conditionalFormatting>
  <conditionalFormatting sqref="B9:H9 T20:W20">
    <cfRule type="cellIs" dxfId="0" priority="8" operator="equal">
      <formula>"S"</formula>
    </cfRule>
  </conditionalFormatting>
  <conditionalFormatting sqref="B9:H9 T20:W20">
    <cfRule type="cellIs" dxfId="5" priority="9" operator="equal">
      <formula>"OC"</formula>
    </cfRule>
  </conditionalFormatting>
  <conditionalFormatting sqref="B9:H9 T20:W20">
    <cfRule type="cellIs" dxfId="6" priority="10" operator="equal">
      <formula>"SPV"</formula>
    </cfRule>
  </conditionalFormatting>
  <conditionalFormatting sqref="B9:H9 T20:W20">
    <cfRule type="cellIs" dxfId="7" priority="11" operator="equal">
      <formula>"INT"</formula>
    </cfRule>
  </conditionalFormatting>
  <conditionalFormatting sqref="B9:H9 T20:W20">
    <cfRule type="cellIs" dxfId="8" priority="12" operator="equal">
      <formula>"T"</formula>
    </cfRule>
  </conditionalFormatting>
  <conditionalFormatting sqref="B7:AF10 E15:E26 R16:AB19 K18:P23 I20:I22 T21:W22 J22 Q23 B31:H34 G36:J36">
    <cfRule type="cellIs" dxfId="0" priority="13" operator="equal">
      <formula>"X"</formula>
    </cfRule>
  </conditionalFormatting>
  <conditionalFormatting sqref="B7:AF10 E15:E26 R16:AB19 K18:P23 I20:I22 T21:W22 J22 Q23 B31:H34 G36:J36">
    <cfRule type="cellIs" dxfId="1" priority="14" operator="equal">
      <formula>"D"</formula>
    </cfRule>
  </conditionalFormatting>
  <conditionalFormatting sqref="B7:AF10 E15:E26 R16:AB19 K18:P23 I20:I22 T21:W22 J22 Q23 B31:H34 G36:J36">
    <cfRule type="cellIs" dxfId="2" priority="15" operator="equal">
      <formula>"N"</formula>
    </cfRule>
  </conditionalFormatting>
  <conditionalFormatting sqref="B7:AF10 E15:E26 R16:AB19 K18:P23 I20:I22 T21:W22 J22 Q23 B31:H34 G36:J36">
    <cfRule type="cellIs" dxfId="3" priority="16" operator="equal">
      <formula>"OB"</formula>
    </cfRule>
  </conditionalFormatting>
  <conditionalFormatting sqref="B7:AF10 E15:E26 R16:AB19 K18:P23 I20:I22 T21:W22 J22 Q23 B31:H34 G36:J36">
    <cfRule type="cellIs" dxfId="0" priority="17" operator="equal">
      <formula>"C"</formula>
    </cfRule>
  </conditionalFormatting>
  <conditionalFormatting sqref="B7:AF10 E15:E26 R16:AB19 K18:P23 I20:I22 T21:W22 J22 Q23 B31:H34 G36:J36">
    <cfRule type="cellIs" dxfId="0" priority="18" operator="equal">
      <formula>"AL"</formula>
    </cfRule>
  </conditionalFormatting>
  <conditionalFormatting sqref="B7:AF10 E15:E26 R16:AB19 K18:P23 I20:I22 T21:W22 J22 Q23 B31:H34 G36:J36">
    <cfRule type="cellIs" dxfId="4" priority="19" operator="equal">
      <formula>"UP"</formula>
    </cfRule>
  </conditionalFormatting>
  <conditionalFormatting sqref="B7:AF10 E15:E26 R16:AB19 K18:P23 I20:I22 T21:W22 J22 Q23 B31:H34 G36:J36">
    <cfRule type="cellIs" dxfId="0" priority="20" operator="equal">
      <formula>"S"</formula>
    </cfRule>
  </conditionalFormatting>
  <conditionalFormatting sqref="B7:AF10 E15:E26 R16:AB19 K18:P23 I20:I22 T21:W22 J22 Q23 B31:H34 G36:J36">
    <cfRule type="cellIs" dxfId="5" priority="21" operator="equal">
      <formula>"OC"</formula>
    </cfRule>
  </conditionalFormatting>
  <conditionalFormatting sqref="B7:AF10 E15:E26 R16:AB19 K18:P23 I20:I22 T21:W22 J22 Q23 B31:H34 G36:J36">
    <cfRule type="cellIs" dxfId="6" priority="22" operator="equal">
      <formula>"SPV"</formula>
    </cfRule>
  </conditionalFormatting>
  <conditionalFormatting sqref="B7:AF10 E15:E26 R16:AB19 K18:P23 I20:I22 T21:W22 J22 Q23 B31:H34 G36:J36">
    <cfRule type="cellIs" dxfId="7" priority="23" operator="equal">
      <formula>"INT"</formula>
    </cfRule>
  </conditionalFormatting>
  <conditionalFormatting sqref="B7:AF10 R16:AB19 K18:P22 T21:W22 J22">
    <cfRule type="cellIs" dxfId="8" priority="24" operator="equal">
      <formula>"T"</formula>
    </cfRule>
  </conditionalFormatting>
  <conditionalFormatting sqref="E25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112</v>
      </c>
      <c r="C4" s="10" t="s">
        <v>113</v>
      </c>
      <c r="D4" s="10" t="s">
        <v>114</v>
      </c>
      <c r="E4" s="10" t="s">
        <v>115</v>
      </c>
      <c r="F4" s="10" t="s">
        <v>116</v>
      </c>
      <c r="G4" s="10" t="s">
        <v>117</v>
      </c>
      <c r="H4" s="10" t="s">
        <v>118</v>
      </c>
      <c r="I4" s="10" t="s">
        <v>112</v>
      </c>
      <c r="J4" s="10" t="s">
        <v>113</v>
      </c>
      <c r="K4" s="10" t="s">
        <v>114</v>
      </c>
      <c r="L4" s="10" t="s">
        <v>115</v>
      </c>
      <c r="M4" s="10" t="s">
        <v>116</v>
      </c>
      <c r="N4" s="10" t="s">
        <v>117</v>
      </c>
      <c r="O4" s="10" t="s">
        <v>118</v>
      </c>
      <c r="P4" s="10" t="s">
        <v>112</v>
      </c>
      <c r="Q4" s="10" t="s">
        <v>113</v>
      </c>
      <c r="R4" s="10" t="s">
        <v>114</v>
      </c>
      <c r="S4" s="10" t="s">
        <v>115</v>
      </c>
      <c r="T4" s="10" t="s">
        <v>116</v>
      </c>
      <c r="U4" s="10" t="s">
        <v>117</v>
      </c>
      <c r="V4" s="10" t="s">
        <v>118</v>
      </c>
      <c r="W4" s="10" t="s">
        <v>112</v>
      </c>
      <c r="X4" s="10" t="s">
        <v>113</v>
      </c>
      <c r="Y4" s="10" t="s">
        <v>114</v>
      </c>
      <c r="Z4" s="10" t="s">
        <v>115</v>
      </c>
      <c r="AA4" s="10" t="s">
        <v>116</v>
      </c>
      <c r="AB4" s="10" t="s">
        <v>117</v>
      </c>
      <c r="AC4" s="10" t="s">
        <v>118</v>
      </c>
      <c r="AD4" s="10" t="s">
        <v>112</v>
      </c>
      <c r="AE4" s="10" t="s">
        <v>113</v>
      </c>
      <c r="AF4" s="10" t="s">
        <v>114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/>
      <c r="AG5" s="13"/>
      <c r="AH5" s="13"/>
      <c r="AI5" s="13"/>
      <c r="AJ5" s="13"/>
      <c r="AK5" s="13"/>
    </row>
    <row r="6">
      <c r="A6" s="12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71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40</v>
      </c>
      <c r="C7" s="69" t="s">
        <v>38</v>
      </c>
      <c r="D7" s="69" t="s">
        <v>38</v>
      </c>
      <c r="E7" s="69" t="s">
        <v>40</v>
      </c>
      <c r="F7" s="69" t="s">
        <v>40</v>
      </c>
      <c r="G7" s="69" t="s">
        <v>39</v>
      </c>
      <c r="H7" s="69" t="s">
        <v>39</v>
      </c>
      <c r="I7" s="60" t="s">
        <v>39</v>
      </c>
      <c r="J7" s="60" t="s">
        <v>40</v>
      </c>
      <c r="K7" s="60" t="s">
        <v>38</v>
      </c>
      <c r="L7" s="60" t="s">
        <v>38</v>
      </c>
      <c r="M7" s="60" t="s">
        <v>40</v>
      </c>
      <c r="N7" s="61" t="s">
        <v>40</v>
      </c>
      <c r="O7" s="61" t="s">
        <v>39</v>
      </c>
      <c r="P7" s="70" t="s">
        <v>39</v>
      </c>
      <c r="Q7" s="70" t="s">
        <v>40</v>
      </c>
      <c r="R7" s="70" t="s">
        <v>40</v>
      </c>
      <c r="S7" s="70" t="s">
        <v>38</v>
      </c>
      <c r="T7" s="70" t="s">
        <v>38</v>
      </c>
      <c r="U7" s="70" t="s">
        <v>40</v>
      </c>
      <c r="V7" s="70" t="s">
        <v>40</v>
      </c>
      <c r="W7" s="71" t="s">
        <v>39</v>
      </c>
      <c r="X7" s="71" t="s">
        <v>39</v>
      </c>
      <c r="Y7" s="71" t="s">
        <v>40</v>
      </c>
      <c r="Z7" s="71" t="s">
        <v>40</v>
      </c>
      <c r="AA7" s="71" t="s">
        <v>38</v>
      </c>
      <c r="AB7" s="71" t="s">
        <v>38</v>
      </c>
      <c r="AC7" s="71" t="s">
        <v>40</v>
      </c>
      <c r="AD7" s="71" t="s">
        <v>40</v>
      </c>
      <c r="AE7" s="71" t="s">
        <v>39</v>
      </c>
      <c r="AF7" s="71"/>
      <c r="AG7" s="49">
        <f t="shared" ref="AG7:AG10" si="1">COUNTIF(B7:AF7,"D")</f>
        <v>8</v>
      </c>
      <c r="AH7" s="49">
        <f t="shared" ref="AH7:AH10" si="2">COUNTIF(B7:AF7,"N")</f>
        <v>8</v>
      </c>
      <c r="AI7" s="49">
        <f t="shared" ref="AI7:AI10" si="3">COUNTIF(B7:AF7,"X")</f>
        <v>14</v>
      </c>
      <c r="AJ7" s="49">
        <f t="shared" ref="AJ7:AJ10" si="4">AG7+AH7</f>
        <v>16</v>
      </c>
      <c r="AK7" s="84">
        <f t="shared" ref="AK7:AK10" si="5">(AJ7*12)/4.4</f>
        <v>43.63636364</v>
      </c>
    </row>
    <row r="8">
      <c r="A8" s="13" t="s">
        <v>45</v>
      </c>
      <c r="B8" s="69" t="s">
        <v>39</v>
      </c>
      <c r="C8" s="69" t="s">
        <v>40</v>
      </c>
      <c r="D8" s="69" t="s">
        <v>40</v>
      </c>
      <c r="E8" s="69" t="s">
        <v>38</v>
      </c>
      <c r="F8" s="69" t="s">
        <v>38</v>
      </c>
      <c r="G8" s="69" t="s">
        <v>40</v>
      </c>
      <c r="H8" s="69" t="s">
        <v>40</v>
      </c>
      <c r="I8" s="69" t="s">
        <v>65</v>
      </c>
      <c r="J8" s="69" t="s">
        <v>65</v>
      </c>
      <c r="K8" s="69" t="s">
        <v>40</v>
      </c>
      <c r="L8" s="69" t="s">
        <v>40</v>
      </c>
      <c r="M8" s="69" t="s">
        <v>38</v>
      </c>
      <c r="N8" s="69" t="s">
        <v>38</v>
      </c>
      <c r="O8" s="69" t="s">
        <v>40</v>
      </c>
      <c r="P8" s="60" t="s">
        <v>40</v>
      </c>
      <c r="Q8" s="60" t="s">
        <v>39</v>
      </c>
      <c r="R8" s="60" t="s">
        <v>39</v>
      </c>
      <c r="S8" s="60" t="s">
        <v>40</v>
      </c>
      <c r="T8" s="60" t="s">
        <v>40</v>
      </c>
      <c r="U8" s="61" t="s">
        <v>38</v>
      </c>
      <c r="V8" s="61" t="s">
        <v>38</v>
      </c>
      <c r="W8" s="70" t="s">
        <v>40</v>
      </c>
      <c r="X8" s="70" t="s">
        <v>40</v>
      </c>
      <c r="Y8" s="70" t="s">
        <v>39</v>
      </c>
      <c r="Z8" s="70" t="s">
        <v>39</v>
      </c>
      <c r="AA8" s="70" t="s">
        <v>40</v>
      </c>
      <c r="AB8" s="70" t="s">
        <v>40</v>
      </c>
      <c r="AC8" s="70" t="s">
        <v>38</v>
      </c>
      <c r="AD8" s="70" t="s">
        <v>38</v>
      </c>
      <c r="AE8" s="70" t="s">
        <v>38</v>
      </c>
      <c r="AF8" s="70"/>
      <c r="AG8" s="49">
        <f t="shared" si="1"/>
        <v>9</v>
      </c>
      <c r="AH8" s="49">
        <f t="shared" si="2"/>
        <v>5</v>
      </c>
      <c r="AI8" s="49">
        <f t="shared" si="3"/>
        <v>14</v>
      </c>
      <c r="AJ8" s="49">
        <f t="shared" si="4"/>
        <v>14</v>
      </c>
      <c r="AK8" s="84">
        <f t="shared" si="5"/>
        <v>38.18181818</v>
      </c>
    </row>
    <row r="9">
      <c r="A9" s="13" t="s">
        <v>73</v>
      </c>
      <c r="B9" s="60" t="s">
        <v>40</v>
      </c>
      <c r="C9" s="60" t="s">
        <v>39</v>
      </c>
      <c r="D9" s="60" t="s">
        <v>39</v>
      </c>
      <c r="E9" s="60" t="s">
        <v>40</v>
      </c>
      <c r="F9" s="60" t="s">
        <v>40</v>
      </c>
      <c r="G9" s="61" t="s">
        <v>38</v>
      </c>
      <c r="H9" s="61" t="s">
        <v>38</v>
      </c>
      <c r="I9" s="70" t="s">
        <v>40</v>
      </c>
      <c r="J9" s="70" t="s">
        <v>40</v>
      </c>
      <c r="K9" s="70" t="s">
        <v>39</v>
      </c>
      <c r="L9" s="70" t="s">
        <v>39</v>
      </c>
      <c r="M9" s="70" t="s">
        <v>40</v>
      </c>
      <c r="N9" s="70" t="s">
        <v>40</v>
      </c>
      <c r="O9" s="70" t="s">
        <v>38</v>
      </c>
      <c r="P9" s="70" t="s">
        <v>38</v>
      </c>
      <c r="Q9" s="70" t="s">
        <v>40</v>
      </c>
      <c r="R9" s="70" t="s">
        <v>40</v>
      </c>
      <c r="S9" s="70" t="s">
        <v>39</v>
      </c>
      <c r="T9" s="70" t="s">
        <v>39</v>
      </c>
      <c r="U9" s="70" t="s">
        <v>40</v>
      </c>
      <c r="V9" s="70" t="s">
        <v>40</v>
      </c>
      <c r="W9" s="60" t="s">
        <v>38</v>
      </c>
      <c r="X9" s="60" t="s">
        <v>38</v>
      </c>
      <c r="Y9" s="60" t="s">
        <v>40</v>
      </c>
      <c r="Z9" s="60" t="s">
        <v>40</v>
      </c>
      <c r="AA9" s="60" t="s">
        <v>39</v>
      </c>
      <c r="AB9" s="61" t="s">
        <v>39</v>
      </c>
      <c r="AC9" s="61" t="s">
        <v>40</v>
      </c>
      <c r="AD9" s="61" t="s">
        <v>40</v>
      </c>
      <c r="AE9" s="61" t="s">
        <v>60</v>
      </c>
      <c r="AG9" s="49">
        <f t="shared" si="1"/>
        <v>6</v>
      </c>
      <c r="AH9" s="49">
        <f t="shared" si="2"/>
        <v>8</v>
      </c>
      <c r="AI9" s="49">
        <f t="shared" si="3"/>
        <v>15</v>
      </c>
      <c r="AJ9" s="49">
        <f t="shared" si="4"/>
        <v>14</v>
      </c>
      <c r="AK9" s="84">
        <f t="shared" si="5"/>
        <v>38.18181818</v>
      </c>
    </row>
    <row r="10">
      <c r="A10" s="13" t="s">
        <v>48</v>
      </c>
      <c r="B10" s="69" t="s">
        <v>38</v>
      </c>
      <c r="C10" s="69" t="s">
        <v>40</v>
      </c>
      <c r="D10" s="69" t="s">
        <v>40</v>
      </c>
      <c r="E10" s="69" t="s">
        <v>39</v>
      </c>
      <c r="F10" s="69" t="s">
        <v>39</v>
      </c>
      <c r="G10" s="69" t="s">
        <v>40</v>
      </c>
      <c r="H10" s="69" t="s">
        <v>40</v>
      </c>
      <c r="I10" s="69" t="s">
        <v>38</v>
      </c>
      <c r="J10" s="69" t="s">
        <v>38</v>
      </c>
      <c r="K10" s="69" t="s">
        <v>40</v>
      </c>
      <c r="L10" s="69" t="s">
        <v>40</v>
      </c>
      <c r="M10" s="69" t="s">
        <v>39</v>
      </c>
      <c r="N10" s="69" t="s">
        <v>39</v>
      </c>
      <c r="O10" s="69" t="s">
        <v>40</v>
      </c>
      <c r="P10" s="69" t="s">
        <v>40</v>
      </c>
      <c r="Q10" s="69" t="s">
        <v>38</v>
      </c>
      <c r="R10" s="69" t="s">
        <v>38</v>
      </c>
      <c r="S10" s="69" t="s">
        <v>40</v>
      </c>
      <c r="T10" s="69" t="s">
        <v>40</v>
      </c>
      <c r="U10" s="69" t="s">
        <v>39</v>
      </c>
      <c r="V10" s="69" t="s">
        <v>39</v>
      </c>
      <c r="W10" s="70" t="s">
        <v>40</v>
      </c>
      <c r="X10" s="70" t="s">
        <v>40</v>
      </c>
      <c r="Y10" s="70" t="s">
        <v>38</v>
      </c>
      <c r="Z10" s="70" t="s">
        <v>38</v>
      </c>
      <c r="AA10" s="70" t="s">
        <v>40</v>
      </c>
      <c r="AB10" s="70" t="s">
        <v>40</v>
      </c>
      <c r="AC10" s="70" t="s">
        <v>39</v>
      </c>
      <c r="AD10" s="70" t="s">
        <v>39</v>
      </c>
      <c r="AE10" s="70" t="s">
        <v>40</v>
      </c>
      <c r="AF10" s="61"/>
      <c r="AG10" s="49">
        <f t="shared" si="1"/>
        <v>7</v>
      </c>
      <c r="AH10" s="49">
        <f t="shared" si="2"/>
        <v>8</v>
      </c>
      <c r="AI10" s="49">
        <f t="shared" si="3"/>
        <v>15</v>
      </c>
      <c r="AJ10" s="49">
        <f t="shared" si="4"/>
        <v>15</v>
      </c>
      <c r="AK10" s="84">
        <f t="shared" si="5"/>
        <v>40.90909091</v>
      </c>
    </row>
    <row r="11">
      <c r="A11" s="23" t="s">
        <v>49</v>
      </c>
      <c r="B11" s="24">
        <f t="shared" ref="B11:AF11" si="6">COUNTIF(B7:B10,"D")</f>
        <v>1</v>
      </c>
      <c r="C11" s="24">
        <f t="shared" si="6"/>
        <v>1</v>
      </c>
      <c r="D11" s="24">
        <f t="shared" si="6"/>
        <v>1</v>
      </c>
      <c r="E11" s="24">
        <f t="shared" si="6"/>
        <v>1</v>
      </c>
      <c r="F11" s="24">
        <f t="shared" si="6"/>
        <v>1</v>
      </c>
      <c r="G11" s="24">
        <f t="shared" si="6"/>
        <v>1</v>
      </c>
      <c r="H11" s="24">
        <f t="shared" si="6"/>
        <v>1</v>
      </c>
      <c r="I11" s="24">
        <f t="shared" si="6"/>
        <v>1</v>
      </c>
      <c r="J11" s="24">
        <f t="shared" si="6"/>
        <v>1</v>
      </c>
      <c r="K11" s="24">
        <f t="shared" si="6"/>
        <v>1</v>
      </c>
      <c r="L11" s="24">
        <f t="shared" si="6"/>
        <v>1</v>
      </c>
      <c r="M11" s="24">
        <f t="shared" si="6"/>
        <v>1</v>
      </c>
      <c r="N11" s="24">
        <f t="shared" si="6"/>
        <v>1</v>
      </c>
      <c r="O11" s="24">
        <f t="shared" si="6"/>
        <v>1</v>
      </c>
      <c r="P11" s="24">
        <f t="shared" si="6"/>
        <v>1</v>
      </c>
      <c r="Q11" s="24">
        <f t="shared" si="6"/>
        <v>1</v>
      </c>
      <c r="R11" s="24">
        <f t="shared" si="6"/>
        <v>1</v>
      </c>
      <c r="S11" s="24">
        <f t="shared" si="6"/>
        <v>1</v>
      </c>
      <c r="T11" s="24">
        <f t="shared" si="6"/>
        <v>1</v>
      </c>
      <c r="U11" s="24">
        <f t="shared" si="6"/>
        <v>1</v>
      </c>
      <c r="V11" s="24">
        <f t="shared" si="6"/>
        <v>1</v>
      </c>
      <c r="W11" s="24">
        <f t="shared" si="6"/>
        <v>1</v>
      </c>
      <c r="X11" s="24">
        <f t="shared" si="6"/>
        <v>1</v>
      </c>
      <c r="Y11" s="24">
        <f t="shared" si="6"/>
        <v>1</v>
      </c>
      <c r="Z11" s="24">
        <f t="shared" si="6"/>
        <v>1</v>
      </c>
      <c r="AA11" s="24">
        <f t="shared" si="6"/>
        <v>1</v>
      </c>
      <c r="AB11" s="24">
        <f t="shared" si="6"/>
        <v>1</v>
      </c>
      <c r="AC11" s="24">
        <f t="shared" si="6"/>
        <v>1</v>
      </c>
      <c r="AD11" s="24">
        <f t="shared" si="6"/>
        <v>1</v>
      </c>
      <c r="AE11" s="24">
        <f t="shared" si="6"/>
        <v>1</v>
      </c>
      <c r="AF11" s="24">
        <f t="shared" si="6"/>
        <v>0</v>
      </c>
    </row>
    <row r="12">
      <c r="A12" s="26" t="s">
        <v>50</v>
      </c>
      <c r="B12" s="27">
        <f t="shared" ref="B12:AF12" si="7">COUNTIF(B7:B10,"N")</f>
        <v>1</v>
      </c>
      <c r="C12" s="27">
        <f t="shared" si="7"/>
        <v>1</v>
      </c>
      <c r="D12" s="27">
        <f t="shared" si="7"/>
        <v>1</v>
      </c>
      <c r="E12" s="27">
        <f t="shared" si="7"/>
        <v>1</v>
      </c>
      <c r="F12" s="27">
        <f t="shared" si="7"/>
        <v>1</v>
      </c>
      <c r="G12" s="27">
        <f t="shared" si="7"/>
        <v>1</v>
      </c>
      <c r="H12" s="27">
        <f t="shared" si="7"/>
        <v>1</v>
      </c>
      <c r="I12" s="27">
        <f t="shared" si="7"/>
        <v>1</v>
      </c>
      <c r="J12" s="27">
        <f t="shared" si="7"/>
        <v>0</v>
      </c>
      <c r="K12" s="27">
        <f t="shared" si="7"/>
        <v>1</v>
      </c>
      <c r="L12" s="27">
        <f t="shared" si="7"/>
        <v>1</v>
      </c>
      <c r="M12" s="27">
        <f t="shared" si="7"/>
        <v>1</v>
      </c>
      <c r="N12" s="27">
        <f t="shared" si="7"/>
        <v>1</v>
      </c>
      <c r="O12" s="27">
        <f t="shared" si="7"/>
        <v>1</v>
      </c>
      <c r="P12" s="27">
        <f t="shared" si="7"/>
        <v>1</v>
      </c>
      <c r="Q12" s="27">
        <f t="shared" si="7"/>
        <v>1</v>
      </c>
      <c r="R12" s="27">
        <f t="shared" si="7"/>
        <v>1</v>
      </c>
      <c r="S12" s="27">
        <f t="shared" si="7"/>
        <v>1</v>
      </c>
      <c r="T12" s="27">
        <f t="shared" si="7"/>
        <v>1</v>
      </c>
      <c r="U12" s="27">
        <f t="shared" si="7"/>
        <v>1</v>
      </c>
      <c r="V12" s="27">
        <f t="shared" si="7"/>
        <v>1</v>
      </c>
      <c r="W12" s="27">
        <f t="shared" si="7"/>
        <v>1</v>
      </c>
      <c r="X12" s="27">
        <f t="shared" si="7"/>
        <v>1</v>
      </c>
      <c r="Y12" s="27">
        <f t="shared" si="7"/>
        <v>1</v>
      </c>
      <c r="Z12" s="27">
        <f t="shared" si="7"/>
        <v>1</v>
      </c>
      <c r="AA12" s="27">
        <f t="shared" si="7"/>
        <v>1</v>
      </c>
      <c r="AB12" s="27">
        <f t="shared" si="7"/>
        <v>1</v>
      </c>
      <c r="AC12" s="27">
        <f t="shared" si="7"/>
        <v>1</v>
      </c>
      <c r="AD12" s="27">
        <f t="shared" si="7"/>
        <v>1</v>
      </c>
      <c r="AE12" s="27">
        <f t="shared" si="7"/>
        <v>1</v>
      </c>
      <c r="AF12" s="27">
        <f t="shared" si="7"/>
        <v>0</v>
      </c>
    </row>
    <row r="13">
      <c r="I13" s="28"/>
      <c r="J13" s="28"/>
      <c r="K13" s="28"/>
      <c r="L13" s="28"/>
      <c r="M13" s="28"/>
      <c r="N13" s="28"/>
      <c r="O13" s="28"/>
      <c r="AG13" s="53"/>
      <c r="AH13" s="53"/>
      <c r="AI13" s="53"/>
      <c r="AJ13" s="53"/>
      <c r="AK13" s="53"/>
    </row>
    <row r="14">
      <c r="E14" s="29" t="s">
        <v>51</v>
      </c>
      <c r="F14" s="30"/>
      <c r="G14" s="30"/>
      <c r="H14" s="31"/>
      <c r="I14" s="32"/>
      <c r="J14" s="28"/>
      <c r="K14" s="28"/>
      <c r="L14" s="62"/>
      <c r="M14" s="28"/>
      <c r="N14" s="28"/>
      <c r="O14" s="28"/>
      <c r="AG14" s="22"/>
      <c r="AH14" s="22"/>
      <c r="AI14" s="22"/>
      <c r="AJ14" s="22"/>
      <c r="AK14" s="22"/>
    </row>
    <row r="15">
      <c r="E15" s="33" t="s">
        <v>38</v>
      </c>
      <c r="F15" s="1" t="s">
        <v>52</v>
      </c>
      <c r="H15" s="34"/>
      <c r="I15" s="28"/>
      <c r="J15" s="11"/>
      <c r="K15" s="11"/>
      <c r="L15" s="11"/>
      <c r="M15" s="11"/>
      <c r="N15" s="11"/>
      <c r="O15" s="11"/>
      <c r="P15" s="11"/>
      <c r="Q15" s="13"/>
      <c r="R15" s="11"/>
      <c r="S15" s="11"/>
      <c r="T15" s="11"/>
      <c r="U15" s="11"/>
      <c r="V15" s="11"/>
      <c r="W15" s="11"/>
      <c r="AG15" s="22"/>
      <c r="AH15" s="22"/>
      <c r="AI15" s="22"/>
      <c r="AJ15" s="22"/>
      <c r="AK15" s="22"/>
    </row>
    <row r="16">
      <c r="E16" s="33" t="s">
        <v>39</v>
      </c>
      <c r="F16" s="1" t="s">
        <v>53</v>
      </c>
      <c r="H16" s="34"/>
      <c r="J16" s="13"/>
      <c r="K16" s="13"/>
      <c r="L16" s="13"/>
      <c r="M16" s="13"/>
      <c r="N16" s="13"/>
      <c r="O16" s="13"/>
      <c r="P16" s="13"/>
      <c r="Q16" s="13"/>
      <c r="R16" s="70"/>
      <c r="S16" s="70"/>
      <c r="T16" s="70"/>
      <c r="U16" s="70"/>
      <c r="V16" s="71"/>
      <c r="W16" s="71"/>
      <c r="X16" s="71"/>
      <c r="Y16" s="71"/>
      <c r="Z16" s="71"/>
      <c r="AA16" s="71"/>
      <c r="AB16" s="71"/>
      <c r="AG16" s="22"/>
      <c r="AH16" s="22"/>
      <c r="AI16" s="22"/>
      <c r="AJ16" s="22"/>
      <c r="AK16" s="22"/>
    </row>
    <row r="17">
      <c r="E17" s="33" t="s">
        <v>41</v>
      </c>
      <c r="F17" s="1" t="s">
        <v>54</v>
      </c>
      <c r="H17" s="34"/>
      <c r="M17" s="68"/>
      <c r="N17" s="68"/>
      <c r="O17" s="68"/>
      <c r="P17" s="68"/>
      <c r="R17" s="60"/>
      <c r="S17" s="60"/>
      <c r="T17" s="61"/>
      <c r="U17" s="61"/>
      <c r="V17" s="70"/>
      <c r="W17" s="70"/>
      <c r="X17" s="70"/>
      <c r="Y17" s="70"/>
      <c r="Z17" s="70"/>
      <c r="AA17" s="70"/>
      <c r="AB17" s="70"/>
      <c r="AG17" s="22"/>
      <c r="AH17" s="22"/>
      <c r="AI17" s="22"/>
      <c r="AJ17" s="22"/>
      <c r="AK17" s="22"/>
    </row>
    <row r="18">
      <c r="E18" s="33" t="s">
        <v>55</v>
      </c>
      <c r="F18" s="1" t="s">
        <v>56</v>
      </c>
      <c r="H18" s="34"/>
      <c r="J18" s="19"/>
      <c r="M18" s="61"/>
      <c r="N18" s="70"/>
      <c r="O18" s="70"/>
      <c r="P18" s="70"/>
      <c r="Q18" s="19"/>
      <c r="R18" s="70"/>
      <c r="S18" s="70"/>
      <c r="T18" s="70"/>
      <c r="U18" s="70"/>
      <c r="V18" s="60"/>
      <c r="W18" s="60"/>
      <c r="X18" s="60"/>
      <c r="Y18" s="60"/>
      <c r="Z18" s="60"/>
      <c r="AA18" s="61"/>
      <c r="AB18" s="61"/>
    </row>
    <row r="19">
      <c r="E19" s="33" t="s">
        <v>40</v>
      </c>
      <c r="F19" s="1" t="s">
        <v>57</v>
      </c>
      <c r="H19" s="34"/>
      <c r="J19" s="13"/>
      <c r="K19" s="59"/>
      <c r="L19" s="59"/>
      <c r="M19" s="69"/>
      <c r="N19" s="60"/>
      <c r="O19" s="60"/>
      <c r="P19" s="60"/>
      <c r="Q19" s="13"/>
      <c r="R19" s="69"/>
      <c r="S19" s="69"/>
      <c r="T19" s="69"/>
      <c r="U19" s="69"/>
      <c r="V19" s="70"/>
      <c r="W19" s="70"/>
      <c r="X19" s="70"/>
      <c r="Y19" s="70"/>
      <c r="Z19" s="70"/>
      <c r="AA19" s="70"/>
      <c r="AB19" s="70"/>
    </row>
    <row r="20">
      <c r="E20" s="33" t="s">
        <v>58</v>
      </c>
      <c r="F20" s="1" t="s">
        <v>59</v>
      </c>
      <c r="H20" s="34"/>
      <c r="I20" s="72"/>
      <c r="J20" s="13"/>
      <c r="K20" s="73"/>
      <c r="L20" s="73"/>
      <c r="M20" s="70"/>
      <c r="N20" s="70"/>
      <c r="O20" s="70"/>
      <c r="P20" s="70"/>
      <c r="Q20" s="13"/>
      <c r="T20" s="20"/>
      <c r="U20" s="20"/>
      <c r="V20" s="20"/>
      <c r="W20" s="20"/>
      <c r="X20" s="13"/>
    </row>
    <row r="21">
      <c r="E21" s="33" t="s">
        <v>60</v>
      </c>
      <c r="F21" s="1" t="s">
        <v>61</v>
      </c>
      <c r="H21" s="34"/>
      <c r="I21" s="20"/>
      <c r="J21" s="13"/>
      <c r="K21" s="59"/>
      <c r="L21" s="59"/>
      <c r="M21" s="69"/>
      <c r="N21" s="69"/>
      <c r="O21" s="69"/>
      <c r="P21" s="69"/>
      <c r="Q21" s="13"/>
      <c r="T21" s="20"/>
      <c r="U21" s="20"/>
      <c r="V21" s="20"/>
      <c r="W21" s="20"/>
      <c r="X21" s="13"/>
    </row>
    <row r="22">
      <c r="E22" s="33" t="s">
        <v>44</v>
      </c>
      <c r="F22" s="1" t="s">
        <v>62</v>
      </c>
      <c r="H22" s="34"/>
      <c r="I22" s="20"/>
      <c r="J22" s="55"/>
      <c r="K22" s="55"/>
      <c r="L22" s="55"/>
      <c r="M22" s="55"/>
      <c r="N22" s="55"/>
      <c r="O22" s="55"/>
      <c r="P22" s="55"/>
      <c r="Q22" s="13"/>
      <c r="T22" s="20"/>
      <c r="U22" s="20"/>
      <c r="V22" s="20"/>
      <c r="W22" s="20"/>
      <c r="X22" s="13"/>
    </row>
    <row r="23">
      <c r="E23" s="33" t="s">
        <v>63</v>
      </c>
      <c r="F23" s="1" t="s">
        <v>64</v>
      </c>
      <c r="H23" s="34"/>
      <c r="K23" s="20"/>
      <c r="L23" s="20"/>
      <c r="M23" s="20"/>
      <c r="N23" s="20"/>
      <c r="O23" s="20"/>
      <c r="P23" s="20"/>
      <c r="Q23" s="20"/>
    </row>
    <row r="24">
      <c r="E24" s="33" t="s">
        <v>65</v>
      </c>
      <c r="F24" s="1" t="s">
        <v>66</v>
      </c>
      <c r="H24" s="34"/>
    </row>
    <row r="25">
      <c r="E25" s="33" t="s">
        <v>46</v>
      </c>
      <c r="F25" s="1" t="s">
        <v>67</v>
      </c>
      <c r="H25" s="34"/>
    </row>
    <row r="26">
      <c r="E26" s="35" t="s">
        <v>68</v>
      </c>
      <c r="F26" s="36" t="s">
        <v>69</v>
      </c>
      <c r="G26" s="8"/>
      <c r="H26" s="37"/>
    </row>
    <row r="29">
      <c r="A29" s="6"/>
      <c r="B29" s="11"/>
      <c r="C29" s="11"/>
      <c r="D29" s="11"/>
      <c r="E29" s="11"/>
      <c r="F29" s="11"/>
      <c r="G29" s="11"/>
      <c r="H29" s="11"/>
    </row>
    <row r="30">
      <c r="A30" s="12"/>
      <c r="B30" s="13"/>
      <c r="C30" s="13"/>
      <c r="D30" s="13"/>
      <c r="E30" s="13"/>
      <c r="F30" s="13"/>
      <c r="G30" s="13"/>
      <c r="H30" s="13"/>
    </row>
    <row r="31">
      <c r="A31" s="39"/>
      <c r="B31" s="20"/>
      <c r="C31" s="20"/>
      <c r="D31" s="20"/>
      <c r="E31" s="20"/>
      <c r="F31" s="20"/>
      <c r="G31" s="20"/>
      <c r="H31" s="20"/>
    </row>
    <row r="32">
      <c r="A32" s="13"/>
      <c r="B32" s="20"/>
      <c r="C32" s="20"/>
      <c r="D32" s="20"/>
      <c r="E32" s="20"/>
      <c r="F32" s="20"/>
      <c r="G32" s="20"/>
      <c r="H32" s="20"/>
    </row>
    <row r="33">
      <c r="A33" s="13"/>
      <c r="B33" s="20"/>
      <c r="C33" s="20"/>
      <c r="D33" s="20"/>
      <c r="E33" s="66"/>
      <c r="F33" s="66"/>
      <c r="G33" s="67"/>
      <c r="H33" s="67"/>
    </row>
    <row r="34">
      <c r="A34" s="13"/>
      <c r="B34" s="20"/>
      <c r="C34" s="20"/>
      <c r="D34" s="20"/>
      <c r="E34" s="20"/>
      <c r="F34" s="20"/>
      <c r="G34" s="20"/>
      <c r="H34" s="20"/>
    </row>
  </sheetData>
  <mergeCells count="14">
    <mergeCell ref="F20:H20"/>
    <mergeCell ref="F21:H21"/>
    <mergeCell ref="F22:H22"/>
    <mergeCell ref="F23:H23"/>
    <mergeCell ref="F24:H24"/>
    <mergeCell ref="F25:H25"/>
    <mergeCell ref="F26:H26"/>
    <mergeCell ref="B1:AC3"/>
    <mergeCell ref="E14:H14"/>
    <mergeCell ref="F15:H15"/>
    <mergeCell ref="F16:H16"/>
    <mergeCell ref="F17:H17"/>
    <mergeCell ref="F18:H18"/>
    <mergeCell ref="F19:H19"/>
  </mergeCells>
  <conditionalFormatting sqref="B9:H9 T20:W20">
    <cfRule type="cellIs" dxfId="0" priority="1" operator="equal">
      <formula>"X"</formula>
    </cfRule>
  </conditionalFormatting>
  <conditionalFormatting sqref="B9:H9 T20:W20">
    <cfRule type="cellIs" dxfId="1" priority="2" operator="equal">
      <formula>"D"</formula>
    </cfRule>
  </conditionalFormatting>
  <conditionalFormatting sqref="B9:H9 T20:W20">
    <cfRule type="cellIs" dxfId="2" priority="3" operator="equal">
      <formula>"N"</formula>
    </cfRule>
  </conditionalFormatting>
  <conditionalFormatting sqref="B9:H9 T20:W20">
    <cfRule type="cellIs" dxfId="3" priority="4" operator="equal">
      <formula>"OB"</formula>
    </cfRule>
  </conditionalFormatting>
  <conditionalFormatting sqref="B9:H9 T20:W20">
    <cfRule type="cellIs" dxfId="0" priority="5" operator="equal">
      <formula>"C"</formula>
    </cfRule>
  </conditionalFormatting>
  <conditionalFormatting sqref="B9:H9 T20:W20">
    <cfRule type="cellIs" dxfId="0" priority="6" operator="equal">
      <formula>"AL"</formula>
    </cfRule>
  </conditionalFormatting>
  <conditionalFormatting sqref="B9:H9 T20:W20">
    <cfRule type="cellIs" dxfId="4" priority="7" operator="equal">
      <formula>"UP"</formula>
    </cfRule>
  </conditionalFormatting>
  <conditionalFormatting sqref="B9:H9 T20:W20">
    <cfRule type="cellIs" dxfId="0" priority="8" operator="equal">
      <formula>"S"</formula>
    </cfRule>
  </conditionalFormatting>
  <conditionalFormatting sqref="B9:H9 T20:W20">
    <cfRule type="cellIs" dxfId="5" priority="9" operator="equal">
      <formula>"OC"</formula>
    </cfRule>
  </conditionalFormatting>
  <conditionalFormatting sqref="B9:H9 T20:W20">
    <cfRule type="cellIs" dxfId="6" priority="10" operator="equal">
      <formula>"SPV"</formula>
    </cfRule>
  </conditionalFormatting>
  <conditionalFormatting sqref="B9:H9 T20:W20">
    <cfRule type="cellIs" dxfId="7" priority="11" operator="equal">
      <formula>"INT"</formula>
    </cfRule>
  </conditionalFormatting>
  <conditionalFormatting sqref="B9:H9 T20:W20">
    <cfRule type="cellIs" dxfId="8" priority="12" operator="equal">
      <formula>"T"</formula>
    </cfRule>
  </conditionalFormatting>
  <conditionalFormatting sqref="B7:AF10 E15:E26 R16:AB19 K18:P23 I20:I22 T21:W22 J22 Q23 B31:H34 G36:J36">
    <cfRule type="cellIs" dxfId="0" priority="13" operator="equal">
      <formula>"X"</formula>
    </cfRule>
  </conditionalFormatting>
  <conditionalFormatting sqref="B7:AF10 E15:E26 R16:AB19 K18:P23 I20:I22 T21:W22 J22 Q23 B31:H34 G36:J36">
    <cfRule type="cellIs" dxfId="1" priority="14" operator="equal">
      <formula>"D"</formula>
    </cfRule>
  </conditionalFormatting>
  <conditionalFormatting sqref="B7:AF10 E15:E26 R16:AB19 K18:P23 I20:I22 T21:W22 J22 Q23 B31:H34 G36:J36">
    <cfRule type="cellIs" dxfId="2" priority="15" operator="equal">
      <formula>"N"</formula>
    </cfRule>
  </conditionalFormatting>
  <conditionalFormatting sqref="B7:AF10 E15:E26 R16:AB19 K18:P23 I20:I22 T21:W22 J22 Q23 B31:H34 G36:J36">
    <cfRule type="cellIs" dxfId="3" priority="16" operator="equal">
      <formula>"OB"</formula>
    </cfRule>
  </conditionalFormatting>
  <conditionalFormatting sqref="B7:AF10 E15:E26 R16:AB19 K18:P23 I20:I22 T21:W22 J22 Q23 B31:H34 G36:J36">
    <cfRule type="cellIs" dxfId="0" priority="17" operator="equal">
      <formula>"C"</formula>
    </cfRule>
  </conditionalFormatting>
  <conditionalFormatting sqref="B7:AF10 E15:E26 R16:AB19 K18:P23 I20:I22 T21:W22 J22 Q23 B31:H34 G36:J36">
    <cfRule type="cellIs" dxfId="0" priority="18" operator="equal">
      <formula>"AL"</formula>
    </cfRule>
  </conditionalFormatting>
  <conditionalFormatting sqref="B7:AF10 E15:E26 R16:AB19 K18:P23 I20:I22 T21:W22 J22 Q23 B31:H34 G36:J36">
    <cfRule type="cellIs" dxfId="4" priority="19" operator="equal">
      <formula>"UP"</formula>
    </cfRule>
  </conditionalFormatting>
  <conditionalFormatting sqref="B7:AF10 E15:E26 R16:AB19 K18:P23 I20:I22 T21:W22 J22 Q23 B31:H34 G36:J36">
    <cfRule type="cellIs" dxfId="0" priority="20" operator="equal">
      <formula>"S"</formula>
    </cfRule>
  </conditionalFormatting>
  <conditionalFormatting sqref="B7:AF10 E15:E26 R16:AB19 K18:P23 I20:I22 T21:W22 J22 Q23 B31:H34 G36:J36">
    <cfRule type="cellIs" dxfId="5" priority="21" operator="equal">
      <formula>"OC"</formula>
    </cfRule>
  </conditionalFormatting>
  <conditionalFormatting sqref="B7:AF10 E15:E26 R16:AB19 K18:P23 I20:I22 T21:W22 J22 Q23 B31:H34 G36:J36">
    <cfRule type="cellIs" dxfId="6" priority="22" operator="equal">
      <formula>"SPV"</formula>
    </cfRule>
  </conditionalFormatting>
  <conditionalFormatting sqref="B7:AF10 E15:E26 R16:AB19 K18:P23 I20:I22 T21:W22 J22 Q23 B31:H34 G36:J36">
    <cfRule type="cellIs" dxfId="7" priority="23" operator="equal">
      <formula>"INT"</formula>
    </cfRule>
  </conditionalFormatting>
  <conditionalFormatting sqref="B7:AF10 R16:AB19 K18:P22 T21:W22 J22">
    <cfRule type="cellIs" dxfId="8" priority="24" operator="equal">
      <formula>"T"</formula>
    </cfRule>
  </conditionalFormatting>
  <conditionalFormatting sqref="E25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2</v>
      </c>
      <c r="I4" s="10" t="s">
        <v>3</v>
      </c>
      <c r="J4" s="10" t="s">
        <v>4</v>
      </c>
      <c r="K4" s="10" t="s">
        <v>5</v>
      </c>
      <c r="L4" s="10" t="s">
        <v>6</v>
      </c>
      <c r="M4" s="10" t="s">
        <v>7</v>
      </c>
      <c r="N4" s="10" t="s">
        <v>8</v>
      </c>
      <c r="O4" s="10" t="s">
        <v>2</v>
      </c>
      <c r="P4" s="10" t="s">
        <v>3</v>
      </c>
      <c r="Q4" s="10" t="s">
        <v>4</v>
      </c>
      <c r="R4" s="10" t="s">
        <v>5</v>
      </c>
      <c r="S4" s="10" t="s">
        <v>6</v>
      </c>
      <c r="T4" s="10" t="s">
        <v>7</v>
      </c>
      <c r="U4" s="10" t="s">
        <v>8</v>
      </c>
      <c r="V4" s="10" t="s">
        <v>2</v>
      </c>
      <c r="W4" s="10" t="s">
        <v>3</v>
      </c>
      <c r="X4" s="10" t="s">
        <v>4</v>
      </c>
      <c r="Y4" s="10" t="s">
        <v>5</v>
      </c>
      <c r="Z4" s="10" t="s">
        <v>6</v>
      </c>
      <c r="AA4" s="10" t="s">
        <v>7</v>
      </c>
      <c r="AB4" s="10" t="s">
        <v>8</v>
      </c>
      <c r="AC4" s="10" t="s">
        <v>2</v>
      </c>
      <c r="AD4" s="10" t="s">
        <v>3</v>
      </c>
      <c r="AE4" s="10" t="s">
        <v>4</v>
      </c>
      <c r="AF4" s="10" t="s">
        <v>5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12"/>
      <c r="B6" s="68"/>
      <c r="C6" s="68"/>
      <c r="D6" s="68"/>
      <c r="E6" s="68"/>
      <c r="F6" s="71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39</v>
      </c>
      <c r="C7" s="69" t="s">
        <v>40</v>
      </c>
      <c r="D7" s="69" t="s">
        <v>40</v>
      </c>
      <c r="E7" s="69" t="s">
        <v>39</v>
      </c>
      <c r="F7" s="69" t="s">
        <v>39</v>
      </c>
      <c r="G7" s="69" t="s">
        <v>40</v>
      </c>
      <c r="H7" s="69" t="s">
        <v>44</v>
      </c>
      <c r="I7" s="60" t="s">
        <v>44</v>
      </c>
      <c r="J7" s="60" t="s">
        <v>44</v>
      </c>
      <c r="K7" s="60" t="s">
        <v>44</v>
      </c>
      <c r="L7" s="60" t="s">
        <v>44</v>
      </c>
      <c r="M7" s="61" t="s">
        <v>40</v>
      </c>
      <c r="N7" s="61" t="s">
        <v>38</v>
      </c>
      <c r="O7" s="61" t="s">
        <v>40</v>
      </c>
      <c r="P7" s="70" t="s">
        <v>39</v>
      </c>
      <c r="Q7" s="70" t="s">
        <v>40</v>
      </c>
      <c r="R7" s="70" t="s">
        <v>40</v>
      </c>
      <c r="S7" s="70" t="s">
        <v>60</v>
      </c>
      <c r="T7" s="70" t="s">
        <v>38</v>
      </c>
      <c r="U7" s="70" t="s">
        <v>40</v>
      </c>
      <c r="V7" s="70" t="s">
        <v>40</v>
      </c>
      <c r="W7" s="71" t="s">
        <v>39</v>
      </c>
      <c r="X7" s="71" t="s">
        <v>39</v>
      </c>
      <c r="Y7" s="71" t="s">
        <v>40</v>
      </c>
      <c r="Z7" s="71" t="s">
        <v>40</v>
      </c>
      <c r="AA7" s="71" t="s">
        <v>38</v>
      </c>
      <c r="AB7" s="71" t="s">
        <v>38</v>
      </c>
      <c r="AC7" s="71" t="s">
        <v>40</v>
      </c>
      <c r="AD7" s="71" t="s">
        <v>40</v>
      </c>
      <c r="AE7" s="71" t="s">
        <v>39</v>
      </c>
      <c r="AF7" s="71" t="s">
        <v>39</v>
      </c>
      <c r="AG7" s="49">
        <f t="shared" ref="AG7:AG10" si="1">COUNTIF(B7:AF7,"D")</f>
        <v>4</v>
      </c>
      <c r="AH7" s="49">
        <f t="shared" ref="AH7:AH10" si="2">COUNTIF(B7:AF7,"N")</f>
        <v>8</v>
      </c>
      <c r="AI7" s="49">
        <f t="shared" ref="AI7:AI10" si="3">COUNTIF(B7:AF7,"X")</f>
        <v>13</v>
      </c>
      <c r="AJ7" s="49">
        <f t="shared" ref="AJ7:AJ10" si="4">AG7+AH7</f>
        <v>12</v>
      </c>
      <c r="AK7" s="84">
        <f t="shared" ref="AK7:AK10" si="5">(AJ7*12)/4.4</f>
        <v>32.72727273</v>
      </c>
    </row>
    <row r="8">
      <c r="A8" s="13" t="s">
        <v>45</v>
      </c>
      <c r="B8" s="69" t="s">
        <v>40</v>
      </c>
      <c r="C8" s="69" t="s">
        <v>39</v>
      </c>
      <c r="D8" s="69" t="s">
        <v>39</v>
      </c>
      <c r="E8" s="69" t="s">
        <v>40</v>
      </c>
      <c r="F8" s="69" t="s">
        <v>40</v>
      </c>
      <c r="G8" s="69" t="s">
        <v>38</v>
      </c>
      <c r="H8" s="69" t="s">
        <v>38</v>
      </c>
      <c r="I8" s="69" t="s">
        <v>40</v>
      </c>
      <c r="J8" s="69" t="s">
        <v>39</v>
      </c>
      <c r="K8" s="69" t="s">
        <v>39</v>
      </c>
      <c r="L8" s="69" t="s">
        <v>39</v>
      </c>
      <c r="M8" s="69" t="s">
        <v>40</v>
      </c>
      <c r="N8" s="69" t="s">
        <v>40</v>
      </c>
      <c r="O8" s="69" t="s">
        <v>38</v>
      </c>
      <c r="P8" s="60" t="s">
        <v>38</v>
      </c>
      <c r="Q8" s="60" t="s">
        <v>40</v>
      </c>
      <c r="R8" s="60" t="s">
        <v>40</v>
      </c>
      <c r="S8" s="60" t="s">
        <v>39</v>
      </c>
      <c r="T8" s="60" t="s">
        <v>39</v>
      </c>
      <c r="U8" s="61" t="s">
        <v>40</v>
      </c>
      <c r="V8" s="61" t="s">
        <v>40</v>
      </c>
      <c r="W8" s="70" t="s">
        <v>38</v>
      </c>
      <c r="X8" s="70" t="s">
        <v>38</v>
      </c>
      <c r="Y8" s="70" t="s">
        <v>40</v>
      </c>
      <c r="Z8" s="70" t="s">
        <v>40</v>
      </c>
      <c r="AA8" s="70" t="s">
        <v>39</v>
      </c>
      <c r="AB8" s="70" t="s">
        <v>39</v>
      </c>
      <c r="AC8" s="70" t="s">
        <v>40</v>
      </c>
      <c r="AD8" s="70" t="s">
        <v>40</v>
      </c>
      <c r="AE8" s="70" t="s">
        <v>38</v>
      </c>
      <c r="AF8" s="70" t="s">
        <v>38</v>
      </c>
      <c r="AG8" s="49">
        <f t="shared" si="1"/>
        <v>8</v>
      </c>
      <c r="AH8" s="49">
        <f t="shared" si="2"/>
        <v>9</v>
      </c>
      <c r="AI8" s="49">
        <f t="shared" si="3"/>
        <v>14</v>
      </c>
      <c r="AJ8" s="49">
        <f t="shared" si="4"/>
        <v>17</v>
      </c>
      <c r="AK8" s="84">
        <f t="shared" si="5"/>
        <v>46.36363636</v>
      </c>
    </row>
    <row r="9">
      <c r="A9" s="13" t="s">
        <v>73</v>
      </c>
      <c r="B9" s="60" t="s">
        <v>60</v>
      </c>
      <c r="C9" s="60" t="s">
        <v>40</v>
      </c>
      <c r="D9" s="60" t="s">
        <v>40</v>
      </c>
      <c r="E9" s="60" t="s">
        <v>38</v>
      </c>
      <c r="F9" s="60" t="s">
        <v>38</v>
      </c>
      <c r="G9" s="61" t="s">
        <v>40</v>
      </c>
      <c r="H9" s="61" t="s">
        <v>40</v>
      </c>
      <c r="I9" s="70" t="s">
        <v>38</v>
      </c>
      <c r="J9" s="70" t="s">
        <v>38</v>
      </c>
      <c r="K9" s="70" t="s">
        <v>38</v>
      </c>
      <c r="L9" s="70" t="s">
        <v>40</v>
      </c>
      <c r="M9" s="70" t="s">
        <v>39</v>
      </c>
      <c r="N9" s="70" t="s">
        <v>39</v>
      </c>
      <c r="O9" s="70" t="s">
        <v>40</v>
      </c>
      <c r="P9" s="70" t="s">
        <v>40</v>
      </c>
      <c r="Q9" s="70" t="s">
        <v>38</v>
      </c>
      <c r="R9" s="70" t="s">
        <v>38</v>
      </c>
      <c r="S9" s="70" t="s">
        <v>38</v>
      </c>
      <c r="T9" s="70" t="s">
        <v>40</v>
      </c>
      <c r="U9" s="70" t="s">
        <v>39</v>
      </c>
      <c r="V9" s="70" t="s">
        <v>39</v>
      </c>
      <c r="W9" s="60" t="s">
        <v>40</v>
      </c>
      <c r="X9" s="60" t="s">
        <v>40</v>
      </c>
      <c r="Y9" s="60" t="s">
        <v>38</v>
      </c>
      <c r="Z9" s="60" t="s">
        <v>38</v>
      </c>
      <c r="AA9" s="60" t="s">
        <v>40</v>
      </c>
      <c r="AB9" s="61" t="s">
        <v>40</v>
      </c>
      <c r="AC9" s="61" t="s">
        <v>39</v>
      </c>
      <c r="AD9" s="61" t="s">
        <v>39</v>
      </c>
      <c r="AE9" s="61" t="s">
        <v>40</v>
      </c>
      <c r="AF9" s="61" t="s">
        <v>40</v>
      </c>
      <c r="AG9" s="49">
        <f t="shared" si="1"/>
        <v>10</v>
      </c>
      <c r="AH9" s="49">
        <f t="shared" si="2"/>
        <v>6</v>
      </c>
      <c r="AI9" s="49">
        <f t="shared" si="3"/>
        <v>14</v>
      </c>
      <c r="AJ9" s="49">
        <f t="shared" si="4"/>
        <v>16</v>
      </c>
      <c r="AK9" s="84">
        <f t="shared" si="5"/>
        <v>43.63636364</v>
      </c>
    </row>
    <row r="10">
      <c r="A10" s="13" t="s">
        <v>48</v>
      </c>
      <c r="B10" s="69" t="s">
        <v>38</v>
      </c>
      <c r="C10" s="69" t="s">
        <v>38</v>
      </c>
      <c r="D10" s="69" t="s">
        <v>38</v>
      </c>
      <c r="E10" s="69" t="s">
        <v>40</v>
      </c>
      <c r="F10" s="69" t="s">
        <v>40</v>
      </c>
      <c r="G10" s="69" t="s">
        <v>39</v>
      </c>
      <c r="H10" s="69" t="s">
        <v>39</v>
      </c>
      <c r="I10" s="69" t="s">
        <v>39</v>
      </c>
      <c r="J10" s="69" t="s">
        <v>40</v>
      </c>
      <c r="K10" s="69" t="s">
        <v>40</v>
      </c>
      <c r="L10" s="69" t="s">
        <v>38</v>
      </c>
      <c r="M10" s="69" t="s">
        <v>38</v>
      </c>
      <c r="N10" s="69" t="s">
        <v>40</v>
      </c>
      <c r="O10" s="69" t="s">
        <v>39</v>
      </c>
      <c r="P10" s="69" t="s">
        <v>40</v>
      </c>
      <c r="Q10" s="69" t="s">
        <v>39</v>
      </c>
      <c r="R10" s="69" t="s">
        <v>39</v>
      </c>
      <c r="S10" s="69" t="s">
        <v>40</v>
      </c>
      <c r="T10" s="69" t="s">
        <v>40</v>
      </c>
      <c r="U10" s="69" t="s">
        <v>38</v>
      </c>
      <c r="V10" s="69" t="s">
        <v>38</v>
      </c>
      <c r="W10" s="70" t="s">
        <v>40</v>
      </c>
      <c r="X10" s="70" t="s">
        <v>40</v>
      </c>
      <c r="Y10" s="70" t="s">
        <v>39</v>
      </c>
      <c r="Z10" s="70" t="s">
        <v>39</v>
      </c>
      <c r="AA10" s="70" t="s">
        <v>40</v>
      </c>
      <c r="AB10" s="70" t="s">
        <v>40</v>
      </c>
      <c r="AC10" s="70" t="s">
        <v>38</v>
      </c>
      <c r="AD10" s="70" t="s">
        <v>38</v>
      </c>
      <c r="AE10" s="70" t="s">
        <v>40</v>
      </c>
      <c r="AF10" s="70" t="s">
        <v>40</v>
      </c>
      <c r="AG10" s="49">
        <f t="shared" si="1"/>
        <v>9</v>
      </c>
      <c r="AH10" s="49">
        <f t="shared" si="2"/>
        <v>8</v>
      </c>
      <c r="AI10" s="49">
        <f t="shared" si="3"/>
        <v>14</v>
      </c>
      <c r="AJ10" s="49">
        <f t="shared" si="4"/>
        <v>17</v>
      </c>
      <c r="AK10" s="84">
        <f t="shared" si="5"/>
        <v>46.36363636</v>
      </c>
    </row>
    <row r="11">
      <c r="A11" s="23" t="s">
        <v>49</v>
      </c>
      <c r="B11" s="24">
        <f t="shared" ref="B11:AF11" si="6">COUNTIF(B7:B10,"D")</f>
        <v>1</v>
      </c>
      <c r="C11" s="24">
        <f t="shared" si="6"/>
        <v>1</v>
      </c>
      <c r="D11" s="24">
        <f t="shared" si="6"/>
        <v>1</v>
      </c>
      <c r="E11" s="24">
        <f t="shared" si="6"/>
        <v>1</v>
      </c>
      <c r="F11" s="24">
        <f t="shared" si="6"/>
        <v>1</v>
      </c>
      <c r="G11" s="24">
        <f t="shared" si="6"/>
        <v>1</v>
      </c>
      <c r="H11" s="24">
        <f t="shared" si="6"/>
        <v>1</v>
      </c>
      <c r="I11" s="24">
        <f t="shared" si="6"/>
        <v>1</v>
      </c>
      <c r="J11" s="24">
        <f t="shared" si="6"/>
        <v>1</v>
      </c>
      <c r="K11" s="24">
        <f t="shared" si="6"/>
        <v>1</v>
      </c>
      <c r="L11" s="24">
        <f t="shared" si="6"/>
        <v>1</v>
      </c>
      <c r="M11" s="24">
        <f t="shared" si="6"/>
        <v>1</v>
      </c>
      <c r="N11" s="24">
        <f t="shared" si="6"/>
        <v>1</v>
      </c>
      <c r="O11" s="24">
        <f t="shared" si="6"/>
        <v>1</v>
      </c>
      <c r="P11" s="24">
        <f t="shared" si="6"/>
        <v>1</v>
      </c>
      <c r="Q11" s="24">
        <f t="shared" si="6"/>
        <v>1</v>
      </c>
      <c r="R11" s="24">
        <f t="shared" si="6"/>
        <v>1</v>
      </c>
      <c r="S11" s="24">
        <f t="shared" si="6"/>
        <v>1</v>
      </c>
      <c r="T11" s="24">
        <f t="shared" si="6"/>
        <v>1</v>
      </c>
      <c r="U11" s="24">
        <f t="shared" si="6"/>
        <v>1</v>
      </c>
      <c r="V11" s="24">
        <f t="shared" si="6"/>
        <v>1</v>
      </c>
      <c r="W11" s="24">
        <f t="shared" si="6"/>
        <v>1</v>
      </c>
      <c r="X11" s="24">
        <f t="shared" si="6"/>
        <v>1</v>
      </c>
      <c r="Y11" s="24">
        <f t="shared" si="6"/>
        <v>1</v>
      </c>
      <c r="Z11" s="24">
        <f t="shared" si="6"/>
        <v>1</v>
      </c>
      <c r="AA11" s="24">
        <f t="shared" si="6"/>
        <v>1</v>
      </c>
      <c r="AB11" s="24">
        <f t="shared" si="6"/>
        <v>1</v>
      </c>
      <c r="AC11" s="24">
        <f t="shared" si="6"/>
        <v>1</v>
      </c>
      <c r="AD11" s="24">
        <f t="shared" si="6"/>
        <v>1</v>
      </c>
      <c r="AE11" s="24">
        <f t="shared" si="6"/>
        <v>1</v>
      </c>
      <c r="AF11" s="24">
        <f t="shared" si="6"/>
        <v>1</v>
      </c>
    </row>
    <row r="12">
      <c r="A12" s="26" t="s">
        <v>50</v>
      </c>
      <c r="B12" s="27">
        <f t="shared" ref="B12:AF12" si="7">COUNTIF(B7:B10,"N")</f>
        <v>1</v>
      </c>
      <c r="C12" s="27">
        <f t="shared" si="7"/>
        <v>1</v>
      </c>
      <c r="D12" s="27">
        <f t="shared" si="7"/>
        <v>1</v>
      </c>
      <c r="E12" s="27">
        <f t="shared" si="7"/>
        <v>1</v>
      </c>
      <c r="F12" s="27">
        <f t="shared" si="7"/>
        <v>1</v>
      </c>
      <c r="G12" s="27">
        <f t="shared" si="7"/>
        <v>1</v>
      </c>
      <c r="H12" s="27">
        <f t="shared" si="7"/>
        <v>1</v>
      </c>
      <c r="I12" s="27">
        <f t="shared" si="7"/>
        <v>1</v>
      </c>
      <c r="J12" s="27">
        <f t="shared" si="7"/>
        <v>1</v>
      </c>
      <c r="K12" s="27">
        <f t="shared" si="7"/>
        <v>1</v>
      </c>
      <c r="L12" s="27">
        <f t="shared" si="7"/>
        <v>1</v>
      </c>
      <c r="M12" s="27">
        <f t="shared" si="7"/>
        <v>1</v>
      </c>
      <c r="N12" s="27">
        <f t="shared" si="7"/>
        <v>1</v>
      </c>
      <c r="O12" s="27">
        <f t="shared" si="7"/>
        <v>1</v>
      </c>
      <c r="P12" s="27">
        <f t="shared" si="7"/>
        <v>1</v>
      </c>
      <c r="Q12" s="27">
        <f t="shared" si="7"/>
        <v>1</v>
      </c>
      <c r="R12" s="27">
        <f t="shared" si="7"/>
        <v>1</v>
      </c>
      <c r="S12" s="27">
        <f t="shared" si="7"/>
        <v>1</v>
      </c>
      <c r="T12" s="27">
        <f t="shared" si="7"/>
        <v>1</v>
      </c>
      <c r="U12" s="27">
        <f t="shared" si="7"/>
        <v>1</v>
      </c>
      <c r="V12" s="27">
        <f t="shared" si="7"/>
        <v>1</v>
      </c>
      <c r="W12" s="27">
        <f t="shared" si="7"/>
        <v>1</v>
      </c>
      <c r="X12" s="27">
        <f t="shared" si="7"/>
        <v>1</v>
      </c>
      <c r="Y12" s="27">
        <f t="shared" si="7"/>
        <v>1</v>
      </c>
      <c r="Z12" s="27">
        <f t="shared" si="7"/>
        <v>1</v>
      </c>
      <c r="AA12" s="27">
        <f t="shared" si="7"/>
        <v>1</v>
      </c>
      <c r="AB12" s="27">
        <f t="shared" si="7"/>
        <v>1</v>
      </c>
      <c r="AC12" s="27">
        <f t="shared" si="7"/>
        <v>1</v>
      </c>
      <c r="AD12" s="27">
        <f t="shared" si="7"/>
        <v>1</v>
      </c>
      <c r="AE12" s="27">
        <f t="shared" si="7"/>
        <v>1</v>
      </c>
      <c r="AF12" s="27">
        <f t="shared" si="7"/>
        <v>1</v>
      </c>
    </row>
    <row r="13">
      <c r="B13" s="85" t="s">
        <v>120</v>
      </c>
      <c r="AG13" s="44" t="s">
        <v>38</v>
      </c>
      <c r="AH13" s="45" t="s">
        <v>39</v>
      </c>
      <c r="AI13" s="46" t="s">
        <v>40</v>
      </c>
      <c r="AJ13" s="48" t="s">
        <v>42</v>
      </c>
      <c r="AK13" s="54" t="s">
        <v>76</v>
      </c>
    </row>
    <row r="14">
      <c r="A14" s="13" t="s">
        <v>104</v>
      </c>
      <c r="B14" s="69" t="s">
        <v>38</v>
      </c>
      <c r="C14" s="69" t="s">
        <v>38</v>
      </c>
      <c r="D14" s="69" t="s">
        <v>38</v>
      </c>
      <c r="E14" s="69" t="s">
        <v>40</v>
      </c>
      <c r="F14" s="69" t="s">
        <v>40</v>
      </c>
      <c r="G14" s="69" t="s">
        <v>38</v>
      </c>
      <c r="H14" s="69" t="s">
        <v>40</v>
      </c>
      <c r="I14" s="69" t="s">
        <v>39</v>
      </c>
      <c r="J14" s="69" t="s">
        <v>39</v>
      </c>
      <c r="K14" s="69" t="s">
        <v>39</v>
      </c>
      <c r="L14" s="69" t="s">
        <v>39</v>
      </c>
      <c r="M14" s="69" t="s">
        <v>39</v>
      </c>
      <c r="N14" s="69" t="s">
        <v>40</v>
      </c>
      <c r="O14" s="69" t="s">
        <v>40</v>
      </c>
      <c r="P14" s="69" t="s">
        <v>39</v>
      </c>
      <c r="Q14" s="69" t="s">
        <v>39</v>
      </c>
      <c r="R14" s="69" t="s">
        <v>39</v>
      </c>
      <c r="S14" s="69" t="s">
        <v>39</v>
      </c>
      <c r="T14" s="69" t="s">
        <v>39</v>
      </c>
      <c r="U14" s="69" t="s">
        <v>40</v>
      </c>
      <c r="V14" s="69" t="s">
        <v>38</v>
      </c>
      <c r="W14" s="69" t="s">
        <v>38</v>
      </c>
      <c r="X14" s="69" t="s">
        <v>38</v>
      </c>
      <c r="Y14" s="69" t="s">
        <v>38</v>
      </c>
      <c r="Z14" s="69" t="s">
        <v>38</v>
      </c>
      <c r="AA14" s="69" t="s">
        <v>40</v>
      </c>
      <c r="AB14" s="69" t="s">
        <v>40</v>
      </c>
      <c r="AC14" s="69" t="s">
        <v>38</v>
      </c>
      <c r="AD14" s="69" t="s">
        <v>38</v>
      </c>
      <c r="AE14" s="69" t="s">
        <v>38</v>
      </c>
      <c r="AF14" s="69" t="s">
        <v>38</v>
      </c>
      <c r="AG14" s="49">
        <f t="shared" ref="AG14:AG15" si="8">COUNTIF(B14:AF14,"D")</f>
        <v>13</v>
      </c>
      <c r="AH14" s="49">
        <f t="shared" ref="AH14:AH15" si="9">COUNTIF(B14:AF14,"N")</f>
        <v>10</v>
      </c>
      <c r="AI14" s="49">
        <f t="shared" ref="AI14:AI15" si="10">COUNTIF(B14:AF14,"X")</f>
        <v>8</v>
      </c>
      <c r="AJ14" s="49">
        <f t="shared" ref="AJ14:AJ15" si="11">AG14+AH14</f>
        <v>23</v>
      </c>
      <c r="AK14" s="84">
        <f t="shared" ref="AK14:AK15" si="12">(AJ14*10)/4</f>
        <v>57.5</v>
      </c>
    </row>
    <row r="15">
      <c r="A15" s="13" t="s">
        <v>121</v>
      </c>
      <c r="B15" s="69" t="s">
        <v>38</v>
      </c>
      <c r="C15" s="69" t="s">
        <v>38</v>
      </c>
      <c r="D15" s="69" t="s">
        <v>38</v>
      </c>
      <c r="E15" s="69" t="s">
        <v>38</v>
      </c>
      <c r="F15" s="69" t="s">
        <v>40</v>
      </c>
      <c r="G15" s="69" t="s">
        <v>40</v>
      </c>
      <c r="H15" s="69" t="s">
        <v>38</v>
      </c>
      <c r="I15" s="69" t="s">
        <v>38</v>
      </c>
      <c r="J15" s="69" t="s">
        <v>38</v>
      </c>
      <c r="K15" s="69" t="s">
        <v>38</v>
      </c>
      <c r="L15" s="69" t="s">
        <v>38</v>
      </c>
      <c r="M15" s="69" t="s">
        <v>40</v>
      </c>
      <c r="N15" s="69" t="s">
        <v>40</v>
      </c>
      <c r="O15" s="69" t="s">
        <v>38</v>
      </c>
      <c r="P15" s="69" t="s">
        <v>38</v>
      </c>
      <c r="Q15" s="69" t="s">
        <v>38</v>
      </c>
      <c r="R15" s="69" t="s">
        <v>38</v>
      </c>
      <c r="S15" s="69" t="s">
        <v>38</v>
      </c>
      <c r="T15" s="69" t="s">
        <v>40</v>
      </c>
      <c r="U15" s="69" t="s">
        <v>40</v>
      </c>
      <c r="V15" s="69" t="s">
        <v>40</v>
      </c>
      <c r="W15" s="69" t="s">
        <v>39</v>
      </c>
      <c r="X15" s="69" t="s">
        <v>39</v>
      </c>
      <c r="Y15" s="69" t="s">
        <v>39</v>
      </c>
      <c r="Z15" s="69" t="s">
        <v>39</v>
      </c>
      <c r="AA15" s="69" t="s">
        <v>39</v>
      </c>
      <c r="AB15" s="69" t="s">
        <v>40</v>
      </c>
      <c r="AC15" s="69" t="s">
        <v>40</v>
      </c>
      <c r="AD15" s="69" t="s">
        <v>39</v>
      </c>
      <c r="AE15" s="69" t="s">
        <v>39</v>
      </c>
      <c r="AF15" s="69" t="s">
        <v>39</v>
      </c>
      <c r="AG15" s="49">
        <f t="shared" si="8"/>
        <v>14</v>
      </c>
      <c r="AH15" s="49">
        <f t="shared" si="9"/>
        <v>8</v>
      </c>
      <c r="AI15" s="49">
        <f t="shared" si="10"/>
        <v>9</v>
      </c>
      <c r="AJ15" s="49">
        <f t="shared" si="11"/>
        <v>22</v>
      </c>
      <c r="AK15" s="84">
        <f t="shared" si="12"/>
        <v>55</v>
      </c>
    </row>
    <row r="16">
      <c r="I16" s="28"/>
      <c r="J16" s="28"/>
      <c r="K16" s="28"/>
      <c r="L16" s="28"/>
      <c r="M16" s="28"/>
      <c r="N16" s="28"/>
      <c r="O16" s="28"/>
      <c r="AG16" s="53"/>
      <c r="AH16" s="53"/>
      <c r="AI16" s="53"/>
      <c r="AJ16" s="53"/>
      <c r="AK16" s="53"/>
    </row>
    <row r="17">
      <c r="E17" s="29" t="s">
        <v>51</v>
      </c>
      <c r="F17" s="30"/>
      <c r="G17" s="30"/>
      <c r="H17" s="31"/>
      <c r="I17" s="32"/>
      <c r="J17" s="28"/>
      <c r="K17" s="28"/>
      <c r="L17" s="62"/>
      <c r="M17" s="28"/>
      <c r="N17" s="28"/>
      <c r="O17" s="28"/>
      <c r="AG17" s="22"/>
      <c r="AH17" s="22"/>
      <c r="AI17" s="22"/>
      <c r="AJ17" s="22"/>
      <c r="AK17" s="22"/>
    </row>
    <row r="18">
      <c r="E18" s="33" t="s">
        <v>38</v>
      </c>
      <c r="F18" s="1" t="s">
        <v>52</v>
      </c>
      <c r="H18" s="34"/>
      <c r="I18" s="28"/>
      <c r="J18" s="11"/>
      <c r="K18" s="86"/>
      <c r="L18" s="86"/>
      <c r="M18" s="86"/>
      <c r="N18" s="86"/>
      <c r="O18" s="11"/>
      <c r="P18" s="11"/>
      <c r="Q18" s="13"/>
      <c r="R18" s="11"/>
      <c r="S18" s="11"/>
      <c r="T18" s="11"/>
      <c r="U18" s="11"/>
      <c r="V18" s="11"/>
      <c r="W18" s="11"/>
      <c r="AG18" s="22"/>
      <c r="AH18" s="22"/>
      <c r="AI18" s="22"/>
      <c r="AJ18" s="22"/>
      <c r="AK18" s="22"/>
    </row>
    <row r="19">
      <c r="E19" s="33" t="s">
        <v>39</v>
      </c>
      <c r="F19" s="1" t="s">
        <v>53</v>
      </c>
      <c r="H19" s="34"/>
      <c r="J19" s="13"/>
      <c r="K19" s="87"/>
      <c r="L19" s="87"/>
      <c r="M19" s="87"/>
      <c r="N19" s="87"/>
      <c r="O19" s="13"/>
      <c r="P19" s="13"/>
      <c r="Q19" s="13"/>
      <c r="R19" s="70"/>
      <c r="S19" s="70"/>
      <c r="T19" s="70"/>
      <c r="U19" s="70"/>
      <c r="V19" s="71"/>
      <c r="W19" s="71"/>
      <c r="X19" s="71"/>
      <c r="Y19" s="71"/>
      <c r="Z19" s="71"/>
      <c r="AA19" s="71"/>
      <c r="AB19" s="71"/>
      <c r="AG19" s="22"/>
      <c r="AH19" s="22"/>
      <c r="AI19" s="22"/>
      <c r="AJ19" s="22"/>
      <c r="AK19" s="22"/>
    </row>
    <row r="20">
      <c r="E20" s="33" t="s">
        <v>41</v>
      </c>
      <c r="F20" s="1" t="s">
        <v>54</v>
      </c>
      <c r="H20" s="34"/>
      <c r="K20" s="68"/>
      <c r="L20" s="68"/>
      <c r="M20" s="68"/>
      <c r="N20" s="68"/>
      <c r="O20" s="68"/>
      <c r="P20" s="68"/>
      <c r="R20" s="60"/>
      <c r="S20" s="60"/>
      <c r="T20" s="61"/>
      <c r="U20" s="61"/>
      <c r="V20" s="70"/>
      <c r="W20" s="70"/>
      <c r="X20" s="70" t="s">
        <v>122</v>
      </c>
      <c r="Y20" s="70"/>
      <c r="Z20" s="70"/>
      <c r="AA20" s="70"/>
      <c r="AB20" s="70"/>
      <c r="AG20" s="22"/>
      <c r="AH20" s="22"/>
      <c r="AI20" s="22"/>
      <c r="AJ20" s="22"/>
      <c r="AK20" s="22"/>
    </row>
    <row r="21">
      <c r="E21" s="33" t="s">
        <v>55</v>
      </c>
      <c r="F21" s="1" t="s">
        <v>56</v>
      </c>
      <c r="H21" s="34"/>
      <c r="J21" s="19"/>
      <c r="K21" s="71"/>
      <c r="L21" s="71"/>
      <c r="M21" s="71"/>
      <c r="N21" s="71"/>
      <c r="O21" s="70"/>
      <c r="P21" s="70"/>
      <c r="Q21" s="19"/>
      <c r="R21" s="70"/>
      <c r="S21" s="70"/>
      <c r="T21" s="70"/>
      <c r="U21" s="70"/>
      <c r="V21" s="60"/>
      <c r="W21" s="60"/>
      <c r="X21" s="60" t="s">
        <v>123</v>
      </c>
      <c r="Y21" s="60" t="s">
        <v>124</v>
      </c>
      <c r="Z21" s="60"/>
      <c r="AA21" s="61"/>
      <c r="AB21" s="61"/>
    </row>
    <row r="22">
      <c r="E22" s="33" t="s">
        <v>40</v>
      </c>
      <c r="F22" s="1" t="s">
        <v>57</v>
      </c>
      <c r="H22" s="34"/>
      <c r="J22" s="13"/>
      <c r="K22" s="70"/>
      <c r="L22" s="70"/>
      <c r="M22" s="70"/>
      <c r="N22" s="70"/>
      <c r="O22" s="60"/>
      <c r="P22" s="60"/>
      <c r="Q22" s="13"/>
      <c r="R22" s="69"/>
      <c r="S22" s="69"/>
      <c r="T22" s="69"/>
      <c r="U22" s="69"/>
      <c r="V22" s="70"/>
      <c r="W22" s="70"/>
      <c r="X22" s="88" t="s">
        <v>125</v>
      </c>
      <c r="Y22" s="88" t="s">
        <v>126</v>
      </c>
      <c r="Z22" s="70"/>
      <c r="AA22" s="70"/>
      <c r="AB22" s="70"/>
    </row>
    <row r="23">
      <c r="E23" s="33" t="s">
        <v>58</v>
      </c>
      <c r="F23" s="1" t="s">
        <v>59</v>
      </c>
      <c r="H23" s="34"/>
      <c r="I23" s="72"/>
      <c r="J23" s="13"/>
      <c r="K23" s="61"/>
      <c r="L23" s="61"/>
      <c r="M23" s="61"/>
      <c r="N23" s="68"/>
      <c r="O23" s="70"/>
      <c r="P23" s="70"/>
      <c r="Q23" s="13"/>
      <c r="T23" s="20"/>
      <c r="U23" s="20"/>
      <c r="V23" s="20"/>
      <c r="W23" s="20"/>
      <c r="X23" s="13"/>
    </row>
    <row r="24">
      <c r="E24" s="33" t="s">
        <v>60</v>
      </c>
      <c r="F24" s="1" t="s">
        <v>61</v>
      </c>
      <c r="H24" s="34"/>
      <c r="I24" s="20"/>
      <c r="J24" s="13"/>
      <c r="K24" s="70"/>
      <c r="L24" s="70"/>
      <c r="M24" s="70"/>
      <c r="N24" s="61"/>
      <c r="O24" s="69"/>
      <c r="P24" s="69"/>
      <c r="Q24" s="13"/>
      <c r="T24" s="20"/>
      <c r="U24" s="20"/>
      <c r="V24" s="20"/>
      <c r="W24" s="20"/>
      <c r="X24" s="89" t="s">
        <v>127</v>
      </c>
    </row>
    <row r="25">
      <c r="E25" s="33" t="s">
        <v>44</v>
      </c>
      <c r="F25" s="1" t="s">
        <v>62</v>
      </c>
      <c r="H25" s="34"/>
      <c r="I25" s="20"/>
      <c r="J25" s="55"/>
      <c r="K25" s="25"/>
      <c r="L25" s="25"/>
      <c r="M25" s="25"/>
      <c r="N25" s="25"/>
      <c r="O25" s="55"/>
      <c r="P25" s="55"/>
      <c r="Q25" s="13"/>
      <c r="T25" s="20"/>
      <c r="U25" s="20"/>
      <c r="V25" s="20"/>
      <c r="W25" s="20"/>
    </row>
    <row r="26">
      <c r="E26" s="33" t="s">
        <v>63</v>
      </c>
      <c r="F26" s="1" t="s">
        <v>64</v>
      </c>
      <c r="H26" s="34"/>
      <c r="K26" s="27"/>
      <c r="L26" s="27"/>
      <c r="M26" s="27"/>
      <c r="N26" s="27"/>
      <c r="O26" s="20"/>
      <c r="P26" s="20"/>
      <c r="Q26" s="20"/>
    </row>
    <row r="27">
      <c r="E27" s="33" t="s">
        <v>65</v>
      </c>
      <c r="F27" s="1" t="s">
        <v>66</v>
      </c>
      <c r="H27" s="34"/>
    </row>
    <row r="28">
      <c r="E28" s="33" t="s">
        <v>46</v>
      </c>
      <c r="F28" s="1" t="s">
        <v>67</v>
      </c>
      <c r="H28" s="34"/>
    </row>
    <row r="29">
      <c r="E29" s="35" t="s">
        <v>68</v>
      </c>
      <c r="F29" s="36" t="s">
        <v>69</v>
      </c>
      <c r="G29" s="8"/>
      <c r="H29" s="37"/>
    </row>
    <row r="32">
      <c r="A32" s="6"/>
      <c r="B32" s="11"/>
      <c r="C32" s="11"/>
      <c r="D32" s="11"/>
      <c r="E32" s="11"/>
      <c r="F32" s="11"/>
      <c r="G32" s="11"/>
      <c r="H32" s="11"/>
    </row>
    <row r="33">
      <c r="A33" s="13" t="s">
        <v>104</v>
      </c>
      <c r="B33" s="90"/>
      <c r="C33" s="69"/>
      <c r="D33" s="69"/>
      <c r="E33" s="69"/>
      <c r="F33" s="69"/>
      <c r="G33" s="69"/>
      <c r="H33" s="69" t="s">
        <v>38</v>
      </c>
      <c r="I33" s="69" t="s">
        <v>38</v>
      </c>
      <c r="J33" s="69" t="s">
        <v>38</v>
      </c>
      <c r="K33" s="69" t="s">
        <v>38</v>
      </c>
      <c r="L33" s="69" t="s">
        <v>38</v>
      </c>
      <c r="M33" s="69" t="s">
        <v>40</v>
      </c>
      <c r="N33" s="69" t="s">
        <v>40</v>
      </c>
      <c r="O33" s="69" t="s">
        <v>38</v>
      </c>
      <c r="P33" s="69" t="s">
        <v>38</v>
      </c>
      <c r="Q33" s="69" t="s">
        <v>38</v>
      </c>
      <c r="R33" s="69" t="s">
        <v>38</v>
      </c>
      <c r="S33" s="69" t="s">
        <v>38</v>
      </c>
      <c r="T33" s="69" t="s">
        <v>40</v>
      </c>
      <c r="U33" s="69" t="s">
        <v>40</v>
      </c>
      <c r="V33" s="69" t="s">
        <v>40</v>
      </c>
      <c r="W33" s="69" t="s">
        <v>39</v>
      </c>
      <c r="X33" s="69" t="s">
        <v>39</v>
      </c>
      <c r="Y33" s="69" t="s">
        <v>39</v>
      </c>
      <c r="Z33" s="69" t="s">
        <v>39</v>
      </c>
      <c r="AA33" s="69" t="s">
        <v>39</v>
      </c>
      <c r="AB33" s="69" t="s">
        <v>40</v>
      </c>
      <c r="AC33" s="69" t="s">
        <v>40</v>
      </c>
      <c r="AD33" s="69" t="s">
        <v>39</v>
      </c>
      <c r="AE33" s="69" t="s">
        <v>39</v>
      </c>
      <c r="AF33" s="69" t="s">
        <v>39</v>
      </c>
    </row>
    <row r="34">
      <c r="A34" s="13" t="s">
        <v>121</v>
      </c>
      <c r="B34" s="69"/>
      <c r="C34" s="69"/>
      <c r="D34" s="69"/>
      <c r="E34" s="69"/>
      <c r="F34" s="69"/>
      <c r="G34" s="69"/>
      <c r="H34" s="69"/>
      <c r="I34" s="69" t="s">
        <v>39</v>
      </c>
      <c r="J34" s="69" t="s">
        <v>39</v>
      </c>
      <c r="K34" s="69" t="s">
        <v>39</v>
      </c>
      <c r="L34" s="69" t="s">
        <v>39</v>
      </c>
      <c r="M34" s="69" t="s">
        <v>39</v>
      </c>
      <c r="N34" s="69" t="s">
        <v>40</v>
      </c>
      <c r="O34" s="69" t="s">
        <v>40</v>
      </c>
      <c r="P34" s="69" t="s">
        <v>39</v>
      </c>
      <c r="Q34" s="69" t="s">
        <v>39</v>
      </c>
      <c r="R34" s="69" t="s">
        <v>39</v>
      </c>
      <c r="S34" s="69" t="s">
        <v>39</v>
      </c>
      <c r="T34" s="69" t="s">
        <v>39</v>
      </c>
      <c r="U34" s="69" t="s">
        <v>40</v>
      </c>
      <c r="V34" s="69" t="s">
        <v>38</v>
      </c>
      <c r="W34" s="69" t="s">
        <v>38</v>
      </c>
      <c r="X34" s="69" t="s">
        <v>38</v>
      </c>
      <c r="Y34" s="69" t="s">
        <v>38</v>
      </c>
      <c r="Z34" s="69" t="s">
        <v>38</v>
      </c>
      <c r="AA34" s="69" t="s">
        <v>40</v>
      </c>
      <c r="AB34" s="69" t="s">
        <v>40</v>
      </c>
      <c r="AC34" s="69" t="s">
        <v>38</v>
      </c>
      <c r="AD34" s="69" t="s">
        <v>38</v>
      </c>
      <c r="AE34" s="69" t="s">
        <v>38</v>
      </c>
      <c r="AF34" s="69" t="s">
        <v>38</v>
      </c>
    </row>
    <row r="35">
      <c r="A35" s="13"/>
      <c r="B35" s="20"/>
      <c r="C35" s="20"/>
      <c r="D35" s="20"/>
      <c r="E35" s="20"/>
      <c r="F35" s="20"/>
      <c r="G35" s="20"/>
      <c r="H35" s="20"/>
    </row>
    <row r="36">
      <c r="A36" s="13"/>
      <c r="B36" s="20"/>
      <c r="C36" s="20"/>
      <c r="D36" s="20"/>
      <c r="E36" s="66"/>
      <c r="F36" s="66"/>
      <c r="G36" s="67"/>
      <c r="H36" s="67"/>
    </row>
    <row r="37">
      <c r="A37" s="13"/>
      <c r="B37" s="20"/>
      <c r="C37" s="20"/>
      <c r="D37" s="20"/>
      <c r="E37" s="20"/>
      <c r="F37" s="20"/>
      <c r="G37" s="20"/>
      <c r="H37" s="20"/>
    </row>
  </sheetData>
  <mergeCells count="16">
    <mergeCell ref="B1:AC3"/>
    <mergeCell ref="B13:AF13"/>
    <mergeCell ref="E17:H17"/>
    <mergeCell ref="F18:H18"/>
    <mergeCell ref="F19:H19"/>
    <mergeCell ref="F20:H20"/>
    <mergeCell ref="F21:H21"/>
    <mergeCell ref="F28:H28"/>
    <mergeCell ref="F29:H29"/>
    <mergeCell ref="F22:H22"/>
    <mergeCell ref="F23:H23"/>
    <mergeCell ref="F24:H24"/>
    <mergeCell ref="X24:AE26"/>
    <mergeCell ref="F25:H25"/>
    <mergeCell ref="F26:H26"/>
    <mergeCell ref="F27:H27"/>
  </mergeCells>
  <conditionalFormatting sqref="B9:H9 T23:W23">
    <cfRule type="cellIs" dxfId="0" priority="1" operator="equal">
      <formula>"X"</formula>
    </cfRule>
  </conditionalFormatting>
  <conditionalFormatting sqref="B9:H9 T23:W23">
    <cfRule type="cellIs" dxfId="1" priority="2" operator="equal">
      <formula>"D"</formula>
    </cfRule>
  </conditionalFormatting>
  <conditionalFormatting sqref="B9:H9 T23:W23">
    <cfRule type="cellIs" dxfId="2" priority="3" operator="equal">
      <formula>"N"</formula>
    </cfRule>
  </conditionalFormatting>
  <conditionalFormatting sqref="B9:H9 T23:W23">
    <cfRule type="cellIs" dxfId="3" priority="4" operator="equal">
      <formula>"OB"</formula>
    </cfRule>
  </conditionalFormatting>
  <conditionalFormatting sqref="B9:H9 T23:W23">
    <cfRule type="cellIs" dxfId="0" priority="5" operator="equal">
      <formula>"C"</formula>
    </cfRule>
  </conditionalFormatting>
  <conditionalFormatting sqref="B9:H9 T23:W23">
    <cfRule type="cellIs" dxfId="0" priority="6" operator="equal">
      <formula>"AL"</formula>
    </cfRule>
  </conditionalFormatting>
  <conditionalFormatting sqref="B9:H9 T23:W23">
    <cfRule type="cellIs" dxfId="4" priority="7" operator="equal">
      <formula>"UP"</formula>
    </cfRule>
  </conditionalFormatting>
  <conditionalFormatting sqref="B9:H9 T23:W23">
    <cfRule type="cellIs" dxfId="0" priority="8" operator="equal">
      <formula>"S"</formula>
    </cfRule>
  </conditionalFormatting>
  <conditionalFormatting sqref="B9:H9 T23:W23">
    <cfRule type="cellIs" dxfId="5" priority="9" operator="equal">
      <formula>"OC"</formula>
    </cfRule>
  </conditionalFormatting>
  <conditionalFormatting sqref="B9:H9 T23:W23">
    <cfRule type="cellIs" dxfId="6" priority="10" operator="equal">
      <formula>"SPV"</formula>
    </cfRule>
  </conditionalFormatting>
  <conditionalFormatting sqref="B9:H9 T23:W23">
    <cfRule type="cellIs" dxfId="7" priority="11" operator="equal">
      <formula>"INT"</formula>
    </cfRule>
  </conditionalFormatting>
  <conditionalFormatting sqref="B9:H9 T23:W23">
    <cfRule type="cellIs" dxfId="8" priority="12" operator="equal">
      <formula>"T"</formula>
    </cfRule>
  </conditionalFormatting>
  <conditionalFormatting sqref="B7:AF10 B14:AF15 E18:E29 R19:AB22 K21:P26 I23:I25 T24:W25 J25 Q26 B33:H37 I33:AF34 G39:J39">
    <cfRule type="cellIs" dxfId="0" priority="13" operator="equal">
      <formula>"X"</formula>
    </cfRule>
  </conditionalFormatting>
  <conditionalFormatting sqref="B7:AF10 B14:AF15 E18:E29 R19:AB22 K21:P26 I23:I25 T24:W25 J25 Q26 B33:H37 I33:AF34 G39:J39">
    <cfRule type="cellIs" dxfId="1" priority="14" operator="equal">
      <formula>"D"</formula>
    </cfRule>
  </conditionalFormatting>
  <conditionalFormatting sqref="B7:AF10 B14:AF15 E18:E29 R19:AB22 K21:P26 I23:I25 T24:W25 J25 Q26 B33:H37 I33:AF34 G39:J39">
    <cfRule type="cellIs" dxfId="2" priority="15" operator="equal">
      <formula>"N"</formula>
    </cfRule>
  </conditionalFormatting>
  <conditionalFormatting sqref="B7:AF10 B14:AF15 E18:E29 R19:AB22 K21:P26 I23:I25 T24:W25 J25 Q26 B33:H37 I33:AF34 G39:J39">
    <cfRule type="cellIs" dxfId="3" priority="16" operator="equal">
      <formula>"OB"</formula>
    </cfRule>
  </conditionalFormatting>
  <conditionalFormatting sqref="B7:AF10 B14:AF15 E18:E29 R19:AB22 K21:P26 I23:I25 T24:W25 J25 Q26 B33:H37 I33:AF34 G39:J39">
    <cfRule type="cellIs" dxfId="0" priority="17" operator="equal">
      <formula>"C"</formula>
    </cfRule>
  </conditionalFormatting>
  <conditionalFormatting sqref="B7:AF10 B14:AF15 E18:E29 R19:AB22 K21:P26 I23:I25 T24:W25 J25 Q26 B33:H37 I33:AF34 G39:J39">
    <cfRule type="cellIs" dxfId="0" priority="18" operator="equal">
      <formula>"AL"</formula>
    </cfRule>
  </conditionalFormatting>
  <conditionalFormatting sqref="B7:AF10 B14:AF15 E18:E29 R19:AB22 K21:P26 I23:I25 T24:W25 J25 Q26 B33:H37 I33:AF34 G39:J39">
    <cfRule type="cellIs" dxfId="4" priority="19" operator="equal">
      <formula>"UP"</formula>
    </cfRule>
  </conditionalFormatting>
  <conditionalFormatting sqref="B7:AF10 B14:AF15 E18:E29 R19:AB22 K21:P26 I23:I25 T24:W25 J25 Q26 B33:H37 I33:AF34 G39:J39">
    <cfRule type="cellIs" dxfId="0" priority="20" operator="equal">
      <formula>"S"</formula>
    </cfRule>
  </conditionalFormatting>
  <conditionalFormatting sqref="B7:AF10 B14:AF15 E18:E29 R19:AB22 K21:P26 I23:I25 T24:W25 J25 Q26 B33:H37 I33:AF34 G39:J39">
    <cfRule type="cellIs" dxfId="5" priority="21" operator="equal">
      <formula>"OC"</formula>
    </cfRule>
  </conditionalFormatting>
  <conditionalFormatting sqref="B7:AF10 B14:AF15 E18:E29 R19:AB22 K21:P26 I23:I25 T24:W25 J25 Q26 B33:H37 I33:AF34 G39:J39">
    <cfRule type="cellIs" dxfId="6" priority="22" operator="equal">
      <formula>"SPV"</formula>
    </cfRule>
  </conditionalFormatting>
  <conditionalFormatting sqref="B7:AF10 B14:AF15 E18:E29 R19:AB22 K21:P26 I23:I25 T24:W25 J25 Q26 B33:H37 I33:AF34 G39:J39">
    <cfRule type="cellIs" dxfId="7" priority="23" operator="equal">
      <formula>"INT"</formula>
    </cfRule>
  </conditionalFormatting>
  <conditionalFormatting sqref="B7:AF10 B14:AF15 R19:AB22 K21:P25 T24:W25 J25 B33:AF34">
    <cfRule type="cellIs" dxfId="8" priority="24" operator="equal">
      <formula>"T"</formula>
    </cfRule>
  </conditionalFormatting>
  <conditionalFormatting sqref="E28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2</v>
      </c>
      <c r="I4" s="10" t="s">
        <v>3</v>
      </c>
      <c r="J4" s="10" t="s">
        <v>4</v>
      </c>
      <c r="K4" s="10" t="s">
        <v>5</v>
      </c>
      <c r="L4" s="10" t="s">
        <v>6</v>
      </c>
      <c r="M4" s="10" t="s">
        <v>7</v>
      </c>
      <c r="N4" s="10" t="s">
        <v>8</v>
      </c>
      <c r="O4" s="10" t="s">
        <v>2</v>
      </c>
      <c r="P4" s="10" t="s">
        <v>3</v>
      </c>
      <c r="Q4" s="10" t="s">
        <v>4</v>
      </c>
      <c r="R4" s="10" t="s">
        <v>5</v>
      </c>
      <c r="S4" s="10" t="s">
        <v>6</v>
      </c>
      <c r="T4" s="10" t="s">
        <v>7</v>
      </c>
      <c r="U4" s="10" t="s">
        <v>8</v>
      </c>
      <c r="V4" s="10" t="s">
        <v>2</v>
      </c>
      <c r="W4" s="10" t="s">
        <v>3</v>
      </c>
      <c r="X4" s="10" t="s">
        <v>4</v>
      </c>
      <c r="Y4" s="10" t="s">
        <v>5</v>
      </c>
      <c r="Z4" s="10" t="s">
        <v>6</v>
      </c>
      <c r="AA4" s="10" t="s">
        <v>7</v>
      </c>
      <c r="AB4" s="10" t="s">
        <v>8</v>
      </c>
      <c r="AC4" s="10" t="s">
        <v>2</v>
      </c>
      <c r="AD4" s="10" t="s">
        <v>3</v>
      </c>
      <c r="AE4" s="10" t="s">
        <v>4</v>
      </c>
      <c r="AF4" s="10" t="s">
        <v>5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12"/>
      <c r="B6" s="68"/>
      <c r="C6" s="68"/>
      <c r="D6" s="68"/>
      <c r="E6" s="68"/>
      <c r="F6" s="71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39</v>
      </c>
      <c r="C7" s="69" t="s">
        <v>40</v>
      </c>
      <c r="D7" s="69" t="s">
        <v>40</v>
      </c>
      <c r="E7" s="69" t="s">
        <v>39</v>
      </c>
      <c r="F7" s="69" t="s">
        <v>40</v>
      </c>
      <c r="G7" s="69" t="s">
        <v>39</v>
      </c>
      <c r="H7" s="69" t="s">
        <v>44</v>
      </c>
      <c r="I7" s="60" t="s">
        <v>44</v>
      </c>
      <c r="J7" s="60" t="s">
        <v>44</v>
      </c>
      <c r="K7" s="60" t="s">
        <v>44</v>
      </c>
      <c r="L7" s="60" t="s">
        <v>44</v>
      </c>
      <c r="M7" s="61" t="s">
        <v>40</v>
      </c>
      <c r="N7" s="61" t="s">
        <v>38</v>
      </c>
      <c r="O7" s="61" t="s">
        <v>40</v>
      </c>
      <c r="P7" s="70" t="s">
        <v>39</v>
      </c>
      <c r="Q7" s="70" t="s">
        <v>40</v>
      </c>
      <c r="R7" s="70" t="s">
        <v>40</v>
      </c>
      <c r="S7" s="70" t="s">
        <v>60</v>
      </c>
      <c r="T7" s="70" t="s">
        <v>38</v>
      </c>
      <c r="U7" s="70" t="s">
        <v>40</v>
      </c>
      <c r="V7" s="70" t="s">
        <v>40</v>
      </c>
      <c r="W7" s="71" t="s">
        <v>39</v>
      </c>
      <c r="X7" s="71" t="s">
        <v>39</v>
      </c>
      <c r="Y7" s="71" t="s">
        <v>40</v>
      </c>
      <c r="Z7" s="71" t="s">
        <v>40</v>
      </c>
      <c r="AA7" s="71" t="s">
        <v>38</v>
      </c>
      <c r="AB7" s="71" t="s">
        <v>38</v>
      </c>
      <c r="AC7" s="71" t="s">
        <v>40</v>
      </c>
      <c r="AD7" s="71" t="s">
        <v>40</v>
      </c>
      <c r="AE7" s="71" t="s">
        <v>39</v>
      </c>
      <c r="AF7" s="71" t="s">
        <v>60</v>
      </c>
      <c r="AG7" s="49">
        <f t="shared" ref="AG7:AG10" si="1">COUNTIF(B7:AF7,"D")</f>
        <v>4</v>
      </c>
      <c r="AH7" s="49">
        <f t="shared" ref="AH7:AH10" si="2">COUNTIF(B7:AF7,"N")</f>
        <v>7</v>
      </c>
      <c r="AI7" s="49">
        <f t="shared" ref="AI7:AI10" si="3">COUNTIF(B7:AF7,"X")</f>
        <v>13</v>
      </c>
      <c r="AJ7" s="49">
        <f t="shared" ref="AJ7:AJ10" si="4">AG7+AH7</f>
        <v>11</v>
      </c>
      <c r="AK7" s="84">
        <f t="shared" ref="AK7:AK10" si="5">(AJ7*12)/4.4</f>
        <v>30</v>
      </c>
    </row>
    <row r="8">
      <c r="A8" s="13" t="s">
        <v>45</v>
      </c>
      <c r="B8" s="69" t="s">
        <v>40</v>
      </c>
      <c r="C8" s="69" t="s">
        <v>39</v>
      </c>
      <c r="D8" s="69" t="s">
        <v>39</v>
      </c>
      <c r="E8" s="69" t="s">
        <v>40</v>
      </c>
      <c r="F8" s="69" t="s">
        <v>40</v>
      </c>
      <c r="G8" s="69" t="s">
        <v>38</v>
      </c>
      <c r="H8" s="69" t="s">
        <v>38</v>
      </c>
      <c r="I8" s="69" t="s">
        <v>38</v>
      </c>
      <c r="J8" s="69" t="s">
        <v>40</v>
      </c>
      <c r="K8" s="69" t="s">
        <v>39</v>
      </c>
      <c r="L8" s="69" t="s">
        <v>39</v>
      </c>
      <c r="M8" s="69" t="s">
        <v>40</v>
      </c>
      <c r="N8" s="69" t="s">
        <v>40</v>
      </c>
      <c r="O8" s="69" t="s">
        <v>38</v>
      </c>
      <c r="P8" s="60" t="s">
        <v>38</v>
      </c>
      <c r="Q8" s="60" t="s">
        <v>40</v>
      </c>
      <c r="R8" s="60" t="s">
        <v>40</v>
      </c>
      <c r="S8" s="60" t="s">
        <v>39</v>
      </c>
      <c r="T8" s="60" t="s">
        <v>39</v>
      </c>
      <c r="U8" s="61" t="s">
        <v>40</v>
      </c>
      <c r="V8" s="61" t="s">
        <v>40</v>
      </c>
      <c r="W8" s="70" t="s">
        <v>38</v>
      </c>
      <c r="X8" s="70" t="s">
        <v>38</v>
      </c>
      <c r="Y8" s="70" t="s">
        <v>40</v>
      </c>
      <c r="Z8" s="70" t="s">
        <v>40</v>
      </c>
      <c r="AA8" s="70" t="s">
        <v>39</v>
      </c>
      <c r="AB8" s="70" t="s">
        <v>39</v>
      </c>
      <c r="AC8" s="70" t="s">
        <v>40</v>
      </c>
      <c r="AD8" s="70" t="s">
        <v>40</v>
      </c>
      <c r="AE8" s="70" t="s">
        <v>38</v>
      </c>
      <c r="AF8" s="70" t="s">
        <v>40</v>
      </c>
      <c r="AG8" s="49">
        <f t="shared" si="1"/>
        <v>8</v>
      </c>
      <c r="AH8" s="49">
        <f t="shared" si="2"/>
        <v>8</v>
      </c>
      <c r="AI8" s="49">
        <f t="shared" si="3"/>
        <v>15</v>
      </c>
      <c r="AJ8" s="49">
        <f t="shared" si="4"/>
        <v>16</v>
      </c>
      <c r="AK8" s="84">
        <f t="shared" si="5"/>
        <v>43.63636364</v>
      </c>
    </row>
    <row r="9">
      <c r="A9" s="13" t="s">
        <v>73</v>
      </c>
      <c r="B9" s="60" t="s">
        <v>60</v>
      </c>
      <c r="C9" s="60" t="s">
        <v>40</v>
      </c>
      <c r="D9" s="60" t="s">
        <v>40</v>
      </c>
      <c r="E9" s="60" t="s">
        <v>38</v>
      </c>
      <c r="F9" s="60" t="s">
        <v>38</v>
      </c>
      <c r="G9" s="61" t="s">
        <v>40</v>
      </c>
      <c r="H9" s="61" t="s">
        <v>39</v>
      </c>
      <c r="I9" s="70" t="s">
        <v>40</v>
      </c>
      <c r="J9" s="70" t="s">
        <v>38</v>
      </c>
      <c r="K9" s="70" t="s">
        <v>38</v>
      </c>
      <c r="L9" s="70" t="s">
        <v>40</v>
      </c>
      <c r="M9" s="70" t="s">
        <v>39</v>
      </c>
      <c r="N9" s="70" t="s">
        <v>39</v>
      </c>
      <c r="O9" s="70" t="s">
        <v>40</v>
      </c>
      <c r="P9" s="70" t="s">
        <v>40</v>
      </c>
      <c r="Q9" s="70" t="s">
        <v>38</v>
      </c>
      <c r="R9" s="70" t="s">
        <v>38</v>
      </c>
      <c r="S9" s="70" t="s">
        <v>38</v>
      </c>
      <c r="T9" s="70" t="s">
        <v>40</v>
      </c>
      <c r="U9" s="70" t="s">
        <v>39</v>
      </c>
      <c r="V9" s="70" t="s">
        <v>39</v>
      </c>
      <c r="W9" s="60" t="s">
        <v>40</v>
      </c>
      <c r="X9" s="60" t="s">
        <v>40</v>
      </c>
      <c r="Y9" s="60" t="s">
        <v>38</v>
      </c>
      <c r="Z9" s="60" t="s">
        <v>38</v>
      </c>
      <c r="AA9" s="60" t="s">
        <v>40</v>
      </c>
      <c r="AB9" s="61" t="s">
        <v>40</v>
      </c>
      <c r="AC9" s="61" t="s">
        <v>39</v>
      </c>
      <c r="AD9" s="61" t="s">
        <v>39</v>
      </c>
      <c r="AE9" s="61" t="s">
        <v>40</v>
      </c>
      <c r="AF9" s="61" t="s">
        <v>38</v>
      </c>
      <c r="AG9" s="49">
        <f t="shared" si="1"/>
        <v>10</v>
      </c>
      <c r="AH9" s="49">
        <f t="shared" si="2"/>
        <v>7</v>
      </c>
      <c r="AI9" s="49">
        <f t="shared" si="3"/>
        <v>13</v>
      </c>
      <c r="AJ9" s="49">
        <f t="shared" si="4"/>
        <v>17</v>
      </c>
      <c r="AK9" s="84">
        <f t="shared" si="5"/>
        <v>46.36363636</v>
      </c>
    </row>
    <row r="10">
      <c r="A10" s="13" t="s">
        <v>48</v>
      </c>
      <c r="B10" s="69" t="s">
        <v>38</v>
      </c>
      <c r="C10" s="69" t="s">
        <v>38</v>
      </c>
      <c r="D10" s="69" t="s">
        <v>38</v>
      </c>
      <c r="E10" s="69" t="s">
        <v>40</v>
      </c>
      <c r="F10" s="69" t="s">
        <v>39</v>
      </c>
      <c r="G10" s="69" t="s">
        <v>40</v>
      </c>
      <c r="H10" s="69" t="s">
        <v>40</v>
      </c>
      <c r="I10" s="69" t="s">
        <v>39</v>
      </c>
      <c r="J10" s="69" t="s">
        <v>39</v>
      </c>
      <c r="K10" s="69" t="s">
        <v>40</v>
      </c>
      <c r="L10" s="69" t="s">
        <v>38</v>
      </c>
      <c r="M10" s="69" t="s">
        <v>38</v>
      </c>
      <c r="N10" s="69" t="s">
        <v>40</v>
      </c>
      <c r="O10" s="69" t="s">
        <v>39</v>
      </c>
      <c r="P10" s="69" t="s">
        <v>40</v>
      </c>
      <c r="Q10" s="69" t="s">
        <v>39</v>
      </c>
      <c r="R10" s="69" t="s">
        <v>39</v>
      </c>
      <c r="S10" s="69" t="s">
        <v>40</v>
      </c>
      <c r="T10" s="69" t="s">
        <v>40</v>
      </c>
      <c r="U10" s="69" t="s">
        <v>38</v>
      </c>
      <c r="V10" s="69" t="s">
        <v>38</v>
      </c>
      <c r="W10" s="70" t="s">
        <v>40</v>
      </c>
      <c r="X10" s="70" t="s">
        <v>40</v>
      </c>
      <c r="Y10" s="70" t="s">
        <v>39</v>
      </c>
      <c r="Z10" s="70" t="s">
        <v>39</v>
      </c>
      <c r="AA10" s="70" t="s">
        <v>40</v>
      </c>
      <c r="AB10" s="70" t="s">
        <v>40</v>
      </c>
      <c r="AC10" s="70" t="s">
        <v>38</v>
      </c>
      <c r="AD10" s="70" t="s">
        <v>38</v>
      </c>
      <c r="AE10" s="70" t="s">
        <v>40</v>
      </c>
      <c r="AF10" s="70" t="s">
        <v>39</v>
      </c>
      <c r="AG10" s="49">
        <f t="shared" si="1"/>
        <v>9</v>
      </c>
      <c r="AH10" s="49">
        <f t="shared" si="2"/>
        <v>9</v>
      </c>
      <c r="AI10" s="49">
        <f t="shared" si="3"/>
        <v>13</v>
      </c>
      <c r="AJ10" s="49">
        <f t="shared" si="4"/>
        <v>18</v>
      </c>
      <c r="AK10" s="84">
        <f t="shared" si="5"/>
        <v>49.09090909</v>
      </c>
    </row>
    <row r="11">
      <c r="A11" s="23" t="s">
        <v>49</v>
      </c>
      <c r="B11" s="24">
        <f t="shared" ref="B11:AF11" si="6">COUNTIF(B7:B10,"D")</f>
        <v>1</v>
      </c>
      <c r="C11" s="24">
        <f t="shared" si="6"/>
        <v>1</v>
      </c>
      <c r="D11" s="24">
        <f t="shared" si="6"/>
        <v>1</v>
      </c>
      <c r="E11" s="24">
        <f t="shared" si="6"/>
        <v>1</v>
      </c>
      <c r="F11" s="24">
        <f t="shared" si="6"/>
        <v>1</v>
      </c>
      <c r="G11" s="24">
        <f t="shared" si="6"/>
        <v>1</v>
      </c>
      <c r="H11" s="24">
        <f t="shared" si="6"/>
        <v>1</v>
      </c>
      <c r="I11" s="24">
        <f t="shared" si="6"/>
        <v>1</v>
      </c>
      <c r="J11" s="24">
        <f t="shared" si="6"/>
        <v>1</v>
      </c>
      <c r="K11" s="24">
        <f t="shared" si="6"/>
        <v>1</v>
      </c>
      <c r="L11" s="24">
        <f t="shared" si="6"/>
        <v>1</v>
      </c>
      <c r="M11" s="24">
        <f t="shared" si="6"/>
        <v>1</v>
      </c>
      <c r="N11" s="24">
        <f t="shared" si="6"/>
        <v>1</v>
      </c>
      <c r="O11" s="24">
        <f t="shared" si="6"/>
        <v>1</v>
      </c>
      <c r="P11" s="24">
        <f t="shared" si="6"/>
        <v>1</v>
      </c>
      <c r="Q11" s="24">
        <f t="shared" si="6"/>
        <v>1</v>
      </c>
      <c r="R11" s="24">
        <f t="shared" si="6"/>
        <v>1</v>
      </c>
      <c r="S11" s="24">
        <f t="shared" si="6"/>
        <v>1</v>
      </c>
      <c r="T11" s="24">
        <f t="shared" si="6"/>
        <v>1</v>
      </c>
      <c r="U11" s="24">
        <f t="shared" si="6"/>
        <v>1</v>
      </c>
      <c r="V11" s="24">
        <f t="shared" si="6"/>
        <v>1</v>
      </c>
      <c r="W11" s="24">
        <f t="shared" si="6"/>
        <v>1</v>
      </c>
      <c r="X11" s="24">
        <f t="shared" si="6"/>
        <v>1</v>
      </c>
      <c r="Y11" s="24">
        <f t="shared" si="6"/>
        <v>1</v>
      </c>
      <c r="Z11" s="24">
        <f t="shared" si="6"/>
        <v>1</v>
      </c>
      <c r="AA11" s="24">
        <f t="shared" si="6"/>
        <v>1</v>
      </c>
      <c r="AB11" s="24">
        <f t="shared" si="6"/>
        <v>1</v>
      </c>
      <c r="AC11" s="24">
        <f t="shared" si="6"/>
        <v>1</v>
      </c>
      <c r="AD11" s="24">
        <f t="shared" si="6"/>
        <v>1</v>
      </c>
      <c r="AE11" s="24">
        <f t="shared" si="6"/>
        <v>1</v>
      </c>
      <c r="AF11" s="24">
        <f t="shared" si="6"/>
        <v>1</v>
      </c>
    </row>
    <row r="12">
      <c r="A12" s="26" t="s">
        <v>50</v>
      </c>
      <c r="B12" s="27">
        <f t="shared" ref="B12:AF12" si="7">COUNTIF(B7:B10,"N")</f>
        <v>1</v>
      </c>
      <c r="C12" s="27">
        <f t="shared" si="7"/>
        <v>1</v>
      </c>
      <c r="D12" s="27">
        <f t="shared" si="7"/>
        <v>1</v>
      </c>
      <c r="E12" s="27">
        <f t="shared" si="7"/>
        <v>1</v>
      </c>
      <c r="F12" s="27">
        <f t="shared" si="7"/>
        <v>1</v>
      </c>
      <c r="G12" s="27">
        <f t="shared" si="7"/>
        <v>1</v>
      </c>
      <c r="H12" s="27">
        <f t="shared" si="7"/>
        <v>1</v>
      </c>
      <c r="I12" s="27">
        <f t="shared" si="7"/>
        <v>1</v>
      </c>
      <c r="J12" s="27">
        <f t="shared" si="7"/>
        <v>1</v>
      </c>
      <c r="K12" s="27">
        <f t="shared" si="7"/>
        <v>1</v>
      </c>
      <c r="L12" s="27">
        <f t="shared" si="7"/>
        <v>1</v>
      </c>
      <c r="M12" s="27">
        <f t="shared" si="7"/>
        <v>1</v>
      </c>
      <c r="N12" s="27">
        <f t="shared" si="7"/>
        <v>1</v>
      </c>
      <c r="O12" s="27">
        <f t="shared" si="7"/>
        <v>1</v>
      </c>
      <c r="P12" s="27">
        <f t="shared" si="7"/>
        <v>1</v>
      </c>
      <c r="Q12" s="27">
        <f t="shared" si="7"/>
        <v>1</v>
      </c>
      <c r="R12" s="27">
        <f t="shared" si="7"/>
        <v>1</v>
      </c>
      <c r="S12" s="27">
        <f t="shared" si="7"/>
        <v>1</v>
      </c>
      <c r="T12" s="27">
        <f t="shared" si="7"/>
        <v>1</v>
      </c>
      <c r="U12" s="27">
        <f t="shared" si="7"/>
        <v>1</v>
      </c>
      <c r="V12" s="27">
        <f t="shared" si="7"/>
        <v>1</v>
      </c>
      <c r="W12" s="27">
        <f t="shared" si="7"/>
        <v>1</v>
      </c>
      <c r="X12" s="27">
        <f t="shared" si="7"/>
        <v>1</v>
      </c>
      <c r="Y12" s="27">
        <f t="shared" si="7"/>
        <v>1</v>
      </c>
      <c r="Z12" s="27">
        <f t="shared" si="7"/>
        <v>1</v>
      </c>
      <c r="AA12" s="27">
        <f t="shared" si="7"/>
        <v>1</v>
      </c>
      <c r="AB12" s="27">
        <f t="shared" si="7"/>
        <v>1</v>
      </c>
      <c r="AC12" s="27">
        <f t="shared" si="7"/>
        <v>1</v>
      </c>
      <c r="AD12" s="27">
        <f t="shared" si="7"/>
        <v>1</v>
      </c>
      <c r="AE12" s="27">
        <f t="shared" si="7"/>
        <v>1</v>
      </c>
      <c r="AF12" s="27">
        <f t="shared" si="7"/>
        <v>1</v>
      </c>
    </row>
    <row r="13">
      <c r="B13" s="85" t="s">
        <v>120</v>
      </c>
      <c r="AG13" s="44" t="s">
        <v>38</v>
      </c>
      <c r="AH13" s="45" t="s">
        <v>39</v>
      </c>
      <c r="AI13" s="46" t="s">
        <v>40</v>
      </c>
      <c r="AJ13" s="48" t="s">
        <v>42</v>
      </c>
      <c r="AK13" s="54" t="s">
        <v>76</v>
      </c>
    </row>
    <row r="14">
      <c r="A14" s="13" t="s">
        <v>104</v>
      </c>
      <c r="B14" s="69" t="s">
        <v>38</v>
      </c>
      <c r="C14" s="69" t="s">
        <v>38</v>
      </c>
      <c r="D14" s="69" t="s">
        <v>38</v>
      </c>
      <c r="E14" s="69" t="s">
        <v>40</v>
      </c>
      <c r="F14" s="69" t="s">
        <v>40</v>
      </c>
      <c r="G14" s="69" t="s">
        <v>38</v>
      </c>
      <c r="H14" s="69" t="s">
        <v>40</v>
      </c>
      <c r="I14" s="69" t="s">
        <v>39</v>
      </c>
      <c r="J14" s="69" t="s">
        <v>39</v>
      </c>
      <c r="K14" s="69" t="s">
        <v>39</v>
      </c>
      <c r="L14" s="69" t="s">
        <v>39</v>
      </c>
      <c r="M14" s="69" t="s">
        <v>39</v>
      </c>
      <c r="N14" s="69" t="s">
        <v>40</v>
      </c>
      <c r="O14" s="69" t="s">
        <v>40</v>
      </c>
      <c r="P14" s="69" t="s">
        <v>39</v>
      </c>
      <c r="Q14" s="69" t="s">
        <v>39</v>
      </c>
      <c r="R14" s="69" t="s">
        <v>39</v>
      </c>
      <c r="S14" s="69" t="s">
        <v>39</v>
      </c>
      <c r="T14" s="69" t="s">
        <v>39</v>
      </c>
      <c r="U14" s="69" t="s">
        <v>40</v>
      </c>
      <c r="V14" s="69" t="s">
        <v>38</v>
      </c>
      <c r="W14" s="69" t="s">
        <v>38</v>
      </c>
      <c r="X14" s="69" t="s">
        <v>38</v>
      </c>
      <c r="Y14" s="69" t="s">
        <v>38</v>
      </c>
      <c r="Z14" s="69" t="s">
        <v>38</v>
      </c>
      <c r="AA14" s="69" t="s">
        <v>40</v>
      </c>
      <c r="AB14" s="69" t="s">
        <v>40</v>
      </c>
      <c r="AC14" s="69" t="s">
        <v>38</v>
      </c>
      <c r="AD14" s="69" t="s">
        <v>38</v>
      </c>
      <c r="AE14" s="69" t="s">
        <v>38</v>
      </c>
      <c r="AF14" s="69" t="s">
        <v>38</v>
      </c>
      <c r="AG14" s="49">
        <f t="shared" ref="AG14:AG15" si="8">COUNTIF(B14:AF14,"D")</f>
        <v>13</v>
      </c>
      <c r="AH14" s="49">
        <f t="shared" ref="AH14:AH15" si="9">COUNTIF(B14:AF14,"N")</f>
        <v>10</v>
      </c>
      <c r="AI14" s="49">
        <f t="shared" ref="AI14:AI15" si="10">COUNTIF(B14:AF14,"X")</f>
        <v>8</v>
      </c>
      <c r="AJ14" s="49">
        <f t="shared" ref="AJ14:AJ15" si="11">AG14+AH14</f>
        <v>23</v>
      </c>
      <c r="AK14" s="84">
        <f t="shared" ref="AK14:AK15" si="12">(AJ14*10)/4</f>
        <v>57.5</v>
      </c>
    </row>
    <row r="15">
      <c r="A15" s="13" t="s">
        <v>121</v>
      </c>
      <c r="B15" s="69" t="s">
        <v>38</v>
      </c>
      <c r="C15" s="69" t="s">
        <v>38</v>
      </c>
      <c r="D15" s="69" t="s">
        <v>38</v>
      </c>
      <c r="E15" s="69" t="s">
        <v>38</v>
      </c>
      <c r="F15" s="69" t="s">
        <v>40</v>
      </c>
      <c r="G15" s="69" t="s">
        <v>40</v>
      </c>
      <c r="H15" s="69" t="s">
        <v>38</v>
      </c>
      <c r="I15" s="69" t="s">
        <v>38</v>
      </c>
      <c r="J15" s="69" t="s">
        <v>38</v>
      </c>
      <c r="K15" s="69" t="s">
        <v>38</v>
      </c>
      <c r="L15" s="69" t="s">
        <v>38</v>
      </c>
      <c r="M15" s="69" t="s">
        <v>40</v>
      </c>
      <c r="N15" s="69" t="s">
        <v>40</v>
      </c>
      <c r="O15" s="69" t="s">
        <v>38</v>
      </c>
      <c r="P15" s="69" t="s">
        <v>38</v>
      </c>
      <c r="Q15" s="69" t="s">
        <v>38</v>
      </c>
      <c r="R15" s="69" t="s">
        <v>38</v>
      </c>
      <c r="S15" s="69" t="s">
        <v>38</v>
      </c>
      <c r="T15" s="69" t="s">
        <v>40</v>
      </c>
      <c r="U15" s="69" t="s">
        <v>40</v>
      </c>
      <c r="V15" s="69" t="s">
        <v>40</v>
      </c>
      <c r="W15" s="69" t="s">
        <v>39</v>
      </c>
      <c r="X15" s="69" t="s">
        <v>39</v>
      </c>
      <c r="Y15" s="69" t="s">
        <v>39</v>
      </c>
      <c r="Z15" s="69" t="s">
        <v>39</v>
      </c>
      <c r="AA15" s="69" t="s">
        <v>39</v>
      </c>
      <c r="AB15" s="69" t="s">
        <v>40</v>
      </c>
      <c r="AC15" s="69" t="s">
        <v>40</v>
      </c>
      <c r="AD15" s="69" t="s">
        <v>39</v>
      </c>
      <c r="AE15" s="69" t="s">
        <v>39</v>
      </c>
      <c r="AF15" s="69" t="s">
        <v>39</v>
      </c>
      <c r="AG15" s="49">
        <f t="shared" si="8"/>
        <v>14</v>
      </c>
      <c r="AH15" s="49">
        <f t="shared" si="9"/>
        <v>8</v>
      </c>
      <c r="AI15" s="49">
        <f t="shared" si="10"/>
        <v>9</v>
      </c>
      <c r="AJ15" s="49">
        <f t="shared" si="11"/>
        <v>22</v>
      </c>
      <c r="AK15" s="84">
        <f t="shared" si="12"/>
        <v>55</v>
      </c>
    </row>
    <row r="16">
      <c r="I16" s="28"/>
      <c r="J16" s="28"/>
      <c r="K16" s="28"/>
      <c r="L16" s="28"/>
      <c r="M16" s="28"/>
      <c r="N16" s="28"/>
      <c r="O16" s="28"/>
      <c r="AG16" s="53"/>
      <c r="AH16" s="53"/>
      <c r="AI16" s="53"/>
      <c r="AJ16" s="53"/>
      <c r="AK16" s="53"/>
    </row>
    <row r="17">
      <c r="E17" s="29" t="s">
        <v>51</v>
      </c>
      <c r="F17" s="30"/>
      <c r="G17" s="30"/>
      <c r="H17" s="31"/>
      <c r="I17" s="32"/>
      <c r="J17" s="28"/>
      <c r="K17" s="28"/>
      <c r="L17" s="62"/>
      <c r="M17" s="28"/>
      <c r="N17" s="28"/>
      <c r="O17" s="28"/>
      <c r="AG17" s="22"/>
      <c r="AH17" s="22"/>
      <c r="AI17" s="22"/>
      <c r="AJ17" s="22"/>
      <c r="AK17" s="22"/>
    </row>
    <row r="18">
      <c r="E18" s="33" t="s">
        <v>38</v>
      </c>
      <c r="F18" s="1" t="s">
        <v>52</v>
      </c>
      <c r="H18" s="34"/>
      <c r="I18" s="28"/>
      <c r="J18" s="11"/>
      <c r="K18" s="86"/>
      <c r="L18" s="86"/>
      <c r="M18" s="86"/>
      <c r="N18" s="86"/>
      <c r="O18" s="11"/>
      <c r="P18" s="11"/>
      <c r="Q18" s="13"/>
      <c r="R18" s="11"/>
      <c r="S18" s="11"/>
      <c r="T18" s="11"/>
      <c r="U18" s="11"/>
      <c r="V18" s="11"/>
      <c r="W18" s="11"/>
      <c r="AG18" s="22"/>
      <c r="AH18" s="22"/>
      <c r="AI18" s="22"/>
      <c r="AJ18" s="22"/>
      <c r="AK18" s="22"/>
    </row>
    <row r="19">
      <c r="E19" s="33" t="s">
        <v>39</v>
      </c>
      <c r="F19" s="1" t="s">
        <v>53</v>
      </c>
      <c r="H19" s="34"/>
      <c r="J19" s="13"/>
      <c r="K19" s="87"/>
      <c r="L19" s="87"/>
      <c r="M19" s="87"/>
      <c r="N19" s="87"/>
      <c r="O19" s="13"/>
      <c r="P19" s="13"/>
      <c r="Q19" s="13"/>
      <c r="R19" s="70"/>
      <c r="S19" s="70"/>
      <c r="T19" s="70"/>
      <c r="U19" s="70"/>
      <c r="V19" s="71"/>
      <c r="W19" s="71"/>
      <c r="X19" s="71"/>
      <c r="Y19" s="71"/>
      <c r="Z19" s="71"/>
      <c r="AA19" s="71"/>
      <c r="AB19" s="71"/>
      <c r="AG19" s="22"/>
      <c r="AH19" s="22"/>
      <c r="AI19" s="22"/>
      <c r="AJ19" s="22"/>
      <c r="AK19" s="22"/>
    </row>
    <row r="20">
      <c r="E20" s="33" t="s">
        <v>41</v>
      </c>
      <c r="F20" s="1" t="s">
        <v>54</v>
      </c>
      <c r="H20" s="34"/>
      <c r="K20" s="68"/>
      <c r="L20" s="68"/>
      <c r="M20" s="68"/>
      <c r="N20" s="68"/>
      <c r="O20" s="68"/>
      <c r="P20" s="68"/>
      <c r="R20" s="60"/>
      <c r="S20" s="60"/>
      <c r="T20" s="61"/>
      <c r="U20" s="61"/>
      <c r="V20" s="70"/>
      <c r="W20" s="70"/>
      <c r="X20" s="88" t="s">
        <v>122</v>
      </c>
      <c r="Y20" s="88"/>
      <c r="Z20" s="88"/>
      <c r="AA20" s="70"/>
      <c r="AB20" s="70"/>
      <c r="AG20" s="22"/>
      <c r="AH20" s="22"/>
      <c r="AI20" s="22"/>
      <c r="AJ20" s="22"/>
      <c r="AK20" s="22"/>
    </row>
    <row r="21">
      <c r="E21" s="33" t="s">
        <v>55</v>
      </c>
      <c r="F21" s="1" t="s">
        <v>56</v>
      </c>
      <c r="H21" s="34"/>
      <c r="J21" s="19"/>
      <c r="K21" s="71"/>
      <c r="L21" s="71"/>
      <c r="M21" s="71"/>
      <c r="N21" s="71"/>
      <c r="O21" s="70"/>
      <c r="P21" s="70"/>
      <c r="Q21" s="19"/>
      <c r="R21" s="70"/>
      <c r="S21" s="70"/>
      <c r="T21" s="70"/>
      <c r="U21" s="70"/>
      <c r="V21" s="60"/>
      <c r="W21" s="60"/>
      <c r="X21" s="60" t="s">
        <v>123</v>
      </c>
      <c r="Y21" s="60" t="s">
        <v>124</v>
      </c>
      <c r="Z21" s="60"/>
      <c r="AA21" s="61"/>
      <c r="AB21" s="61"/>
    </row>
    <row r="22">
      <c r="E22" s="33" t="s">
        <v>40</v>
      </c>
      <c r="F22" s="1" t="s">
        <v>57</v>
      </c>
      <c r="H22" s="34"/>
      <c r="J22" s="13"/>
      <c r="K22" s="70"/>
      <c r="L22" s="70"/>
      <c r="M22" s="70"/>
      <c r="N22" s="70"/>
      <c r="O22" s="60"/>
      <c r="P22" s="60"/>
      <c r="Q22" s="13"/>
      <c r="R22" s="69"/>
      <c r="S22" s="69"/>
      <c r="T22" s="69"/>
      <c r="U22" s="69"/>
      <c r="V22" s="70"/>
      <c r="W22" s="70"/>
      <c r="X22" s="88" t="s">
        <v>125</v>
      </c>
      <c r="Y22" s="88" t="s">
        <v>126</v>
      </c>
      <c r="Z22" s="70"/>
      <c r="AA22" s="70"/>
      <c r="AB22" s="70"/>
    </row>
    <row r="23">
      <c r="E23" s="33" t="s">
        <v>58</v>
      </c>
      <c r="F23" s="1" t="s">
        <v>59</v>
      </c>
      <c r="H23" s="34"/>
      <c r="I23" s="72"/>
      <c r="J23" s="13"/>
      <c r="K23" s="61"/>
      <c r="L23" s="61"/>
      <c r="M23" s="61"/>
      <c r="N23" s="68"/>
      <c r="O23" s="70"/>
      <c r="P23" s="70"/>
      <c r="Q23" s="13"/>
      <c r="T23" s="20"/>
      <c r="U23" s="20"/>
      <c r="V23" s="20"/>
      <c r="W23" s="20"/>
      <c r="X23" s="13"/>
    </row>
    <row r="24">
      <c r="E24" s="33" t="s">
        <v>60</v>
      </c>
      <c r="F24" s="1" t="s">
        <v>61</v>
      </c>
      <c r="H24" s="34"/>
      <c r="I24" s="20"/>
      <c r="J24" s="13"/>
      <c r="K24" s="70"/>
      <c r="L24" s="70"/>
      <c r="M24" s="70"/>
      <c r="N24" s="61"/>
      <c r="O24" s="69"/>
      <c r="P24" s="69"/>
      <c r="Q24" s="13"/>
      <c r="T24" s="20"/>
      <c r="U24" s="20"/>
      <c r="V24" s="20"/>
      <c r="W24" s="20"/>
      <c r="X24" s="89" t="s">
        <v>127</v>
      </c>
    </row>
    <row r="25">
      <c r="E25" s="33" t="s">
        <v>44</v>
      </c>
      <c r="F25" s="1" t="s">
        <v>62</v>
      </c>
      <c r="H25" s="34"/>
      <c r="I25" s="20"/>
      <c r="J25" s="55"/>
      <c r="K25" s="25"/>
      <c r="L25" s="25"/>
      <c r="M25" s="25"/>
      <c r="N25" s="25"/>
      <c r="O25" s="55"/>
      <c r="P25" s="55"/>
      <c r="Q25" s="13"/>
      <c r="T25" s="20"/>
      <c r="U25" s="20"/>
      <c r="V25" s="20"/>
      <c r="W25" s="20"/>
    </row>
    <row r="26">
      <c r="E26" s="33" t="s">
        <v>63</v>
      </c>
      <c r="F26" s="1" t="s">
        <v>64</v>
      </c>
      <c r="H26" s="34"/>
      <c r="K26" s="25"/>
      <c r="L26" s="25"/>
      <c r="M26" s="25"/>
      <c r="N26" s="25"/>
      <c r="O26" s="20"/>
      <c r="P26" s="20"/>
      <c r="Q26" s="20"/>
    </row>
    <row r="27">
      <c r="E27" s="33" t="s">
        <v>65</v>
      </c>
      <c r="F27" s="1" t="s">
        <v>66</v>
      </c>
      <c r="H27" s="34"/>
    </row>
    <row r="28">
      <c r="E28" s="33" t="s">
        <v>46</v>
      </c>
      <c r="F28" s="1" t="s">
        <v>67</v>
      </c>
      <c r="H28" s="34"/>
    </row>
    <row r="29">
      <c r="E29" s="35" t="s">
        <v>68</v>
      </c>
      <c r="F29" s="36" t="s">
        <v>69</v>
      </c>
      <c r="G29" s="8"/>
      <c r="H29" s="37"/>
    </row>
    <row r="32">
      <c r="A32" s="6"/>
      <c r="B32" s="11"/>
      <c r="C32" s="11"/>
      <c r="D32" s="11"/>
      <c r="E32" s="11"/>
      <c r="F32" s="11"/>
      <c r="G32" s="11"/>
      <c r="H32" s="11"/>
    </row>
    <row r="33">
      <c r="A33" s="13" t="s">
        <v>104</v>
      </c>
      <c r="B33" s="90"/>
      <c r="C33" s="69"/>
      <c r="D33" s="69"/>
      <c r="E33" s="69"/>
      <c r="F33" s="69"/>
      <c r="G33" s="69"/>
      <c r="H33" s="69" t="s">
        <v>38</v>
      </c>
      <c r="I33" s="69" t="s">
        <v>38</v>
      </c>
      <c r="J33" s="69" t="s">
        <v>38</v>
      </c>
      <c r="K33" s="69" t="s">
        <v>38</v>
      </c>
      <c r="L33" s="69" t="s">
        <v>38</v>
      </c>
      <c r="M33" s="69" t="s">
        <v>40</v>
      </c>
      <c r="N33" s="69" t="s">
        <v>40</v>
      </c>
      <c r="O33" s="69" t="s">
        <v>38</v>
      </c>
      <c r="P33" s="69" t="s">
        <v>38</v>
      </c>
      <c r="Q33" s="69" t="s">
        <v>38</v>
      </c>
      <c r="R33" s="69" t="s">
        <v>38</v>
      </c>
      <c r="S33" s="69" t="s">
        <v>38</v>
      </c>
      <c r="T33" s="69" t="s">
        <v>40</v>
      </c>
      <c r="U33" s="69" t="s">
        <v>40</v>
      </c>
      <c r="V33" s="69" t="s">
        <v>40</v>
      </c>
      <c r="W33" s="69" t="s">
        <v>39</v>
      </c>
      <c r="X33" s="69" t="s">
        <v>39</v>
      </c>
      <c r="Y33" s="69" t="s">
        <v>39</v>
      </c>
      <c r="Z33" s="69" t="s">
        <v>39</v>
      </c>
      <c r="AA33" s="69" t="s">
        <v>39</v>
      </c>
      <c r="AB33" s="69" t="s">
        <v>40</v>
      </c>
      <c r="AC33" s="69" t="s">
        <v>40</v>
      </c>
      <c r="AD33" s="69" t="s">
        <v>39</v>
      </c>
      <c r="AE33" s="69" t="s">
        <v>39</v>
      </c>
      <c r="AF33" s="69" t="s">
        <v>39</v>
      </c>
    </row>
    <row r="34">
      <c r="A34" s="13" t="s">
        <v>121</v>
      </c>
      <c r="B34" s="69"/>
      <c r="C34" s="69"/>
      <c r="D34" s="69"/>
      <c r="E34" s="69"/>
      <c r="F34" s="69"/>
      <c r="G34" s="69"/>
      <c r="H34" s="69"/>
      <c r="I34" s="69" t="s">
        <v>39</v>
      </c>
      <c r="J34" s="69" t="s">
        <v>39</v>
      </c>
      <c r="K34" s="69" t="s">
        <v>39</v>
      </c>
      <c r="L34" s="69" t="s">
        <v>39</v>
      </c>
      <c r="M34" s="69" t="s">
        <v>39</v>
      </c>
      <c r="N34" s="69" t="s">
        <v>40</v>
      </c>
      <c r="O34" s="69" t="s">
        <v>40</v>
      </c>
      <c r="P34" s="69" t="s">
        <v>39</v>
      </c>
      <c r="Q34" s="69" t="s">
        <v>39</v>
      </c>
      <c r="R34" s="69" t="s">
        <v>39</v>
      </c>
      <c r="S34" s="69" t="s">
        <v>39</v>
      </c>
      <c r="T34" s="69" t="s">
        <v>39</v>
      </c>
      <c r="U34" s="69" t="s">
        <v>40</v>
      </c>
      <c r="V34" s="69" t="s">
        <v>38</v>
      </c>
      <c r="W34" s="69" t="s">
        <v>38</v>
      </c>
      <c r="X34" s="69" t="s">
        <v>38</v>
      </c>
      <c r="Y34" s="69" t="s">
        <v>38</v>
      </c>
      <c r="Z34" s="69" t="s">
        <v>38</v>
      </c>
      <c r="AA34" s="69" t="s">
        <v>40</v>
      </c>
      <c r="AB34" s="69" t="s">
        <v>40</v>
      </c>
      <c r="AC34" s="69" t="s">
        <v>38</v>
      </c>
      <c r="AD34" s="69" t="s">
        <v>38</v>
      </c>
      <c r="AE34" s="69" t="s">
        <v>38</v>
      </c>
      <c r="AF34" s="69" t="s">
        <v>38</v>
      </c>
    </row>
    <row r="35">
      <c r="A35" s="13"/>
      <c r="B35" s="20"/>
      <c r="C35" s="20"/>
      <c r="D35" s="20"/>
      <c r="E35" s="20"/>
      <c r="F35" s="20"/>
      <c r="G35" s="20"/>
      <c r="H35" s="20"/>
    </row>
    <row r="36">
      <c r="A36" s="13"/>
      <c r="B36" s="20"/>
      <c r="C36" s="20"/>
      <c r="D36" s="20"/>
      <c r="E36" s="66"/>
      <c r="F36" s="66"/>
      <c r="G36" s="67"/>
      <c r="H36" s="67"/>
    </row>
    <row r="37">
      <c r="A37" s="13"/>
      <c r="B37" s="20"/>
      <c r="C37" s="20"/>
      <c r="D37" s="20"/>
      <c r="E37" s="20"/>
      <c r="F37" s="20"/>
      <c r="G37" s="20"/>
      <c r="H37" s="20"/>
    </row>
  </sheetData>
  <mergeCells count="16">
    <mergeCell ref="B1:AC3"/>
    <mergeCell ref="B13:AF13"/>
    <mergeCell ref="E17:H17"/>
    <mergeCell ref="F18:H18"/>
    <mergeCell ref="F19:H19"/>
    <mergeCell ref="F20:H20"/>
    <mergeCell ref="F21:H21"/>
    <mergeCell ref="F28:H28"/>
    <mergeCell ref="F29:H29"/>
    <mergeCell ref="F22:H22"/>
    <mergeCell ref="F23:H23"/>
    <mergeCell ref="F24:H24"/>
    <mergeCell ref="X24:AE26"/>
    <mergeCell ref="F25:H25"/>
    <mergeCell ref="F26:H26"/>
    <mergeCell ref="F27:H27"/>
  </mergeCells>
  <conditionalFormatting sqref="B9:H9 T23:W23">
    <cfRule type="cellIs" dxfId="0" priority="1" operator="equal">
      <formula>"X"</formula>
    </cfRule>
  </conditionalFormatting>
  <conditionalFormatting sqref="B9:H9 T23:W23">
    <cfRule type="cellIs" dxfId="1" priority="2" operator="equal">
      <formula>"D"</formula>
    </cfRule>
  </conditionalFormatting>
  <conditionalFormatting sqref="B9:H9 T23:W23">
    <cfRule type="cellIs" dxfId="2" priority="3" operator="equal">
      <formula>"N"</formula>
    </cfRule>
  </conditionalFormatting>
  <conditionalFormatting sqref="B9:H9 T23:W23">
    <cfRule type="cellIs" dxfId="3" priority="4" operator="equal">
      <formula>"OB"</formula>
    </cfRule>
  </conditionalFormatting>
  <conditionalFormatting sqref="B9:H9 T23:W23">
    <cfRule type="cellIs" dxfId="0" priority="5" operator="equal">
      <formula>"C"</formula>
    </cfRule>
  </conditionalFormatting>
  <conditionalFormatting sqref="B9:H9 T23:W23">
    <cfRule type="cellIs" dxfId="0" priority="6" operator="equal">
      <formula>"AL"</formula>
    </cfRule>
  </conditionalFormatting>
  <conditionalFormatting sqref="B9:H9 T23:W23">
    <cfRule type="cellIs" dxfId="4" priority="7" operator="equal">
      <formula>"UP"</formula>
    </cfRule>
  </conditionalFormatting>
  <conditionalFormatting sqref="B9:H9 T23:W23">
    <cfRule type="cellIs" dxfId="0" priority="8" operator="equal">
      <formula>"S"</formula>
    </cfRule>
  </conditionalFormatting>
  <conditionalFormatting sqref="B9:H9 T23:W23">
    <cfRule type="cellIs" dxfId="5" priority="9" operator="equal">
      <formula>"OC"</formula>
    </cfRule>
  </conditionalFormatting>
  <conditionalFormatting sqref="B9:H9 T23:W23">
    <cfRule type="cellIs" dxfId="6" priority="10" operator="equal">
      <formula>"SPV"</formula>
    </cfRule>
  </conditionalFormatting>
  <conditionalFormatting sqref="B9:H9 T23:W23">
    <cfRule type="cellIs" dxfId="7" priority="11" operator="equal">
      <formula>"INT"</formula>
    </cfRule>
  </conditionalFormatting>
  <conditionalFormatting sqref="B9:H9 T23:W23">
    <cfRule type="cellIs" dxfId="8" priority="12" operator="equal">
      <formula>"T"</formula>
    </cfRule>
  </conditionalFormatting>
  <conditionalFormatting sqref="B7:AF10 B14:AF15 E18:E29 R19:AB22 K21:P26 I23:I25 T24:W25 J25 Q26 B33:H37 I33:AF34 G39:J39">
    <cfRule type="cellIs" dxfId="0" priority="13" operator="equal">
      <formula>"X"</formula>
    </cfRule>
  </conditionalFormatting>
  <conditionalFormatting sqref="B7:AF10 B14:AF15 E18:E29 R19:AB22 K21:P26 I23:I25 T24:W25 J25 Q26 B33:H37 I33:AF34 G39:J39">
    <cfRule type="cellIs" dxfId="1" priority="14" operator="equal">
      <formula>"D"</formula>
    </cfRule>
  </conditionalFormatting>
  <conditionalFormatting sqref="B7:AF10 B14:AF15 E18:E29 R19:AB22 K21:P26 I23:I25 T24:W25 J25 Q26 B33:H37 I33:AF34 G39:J39">
    <cfRule type="cellIs" dxfId="2" priority="15" operator="equal">
      <formula>"N"</formula>
    </cfRule>
  </conditionalFormatting>
  <conditionalFormatting sqref="B7:AF10 B14:AF15 E18:E29 R19:AB22 K21:P26 I23:I25 T24:W25 J25 Q26 B33:H37 I33:AF34 G39:J39">
    <cfRule type="cellIs" dxfId="3" priority="16" operator="equal">
      <formula>"OB"</formula>
    </cfRule>
  </conditionalFormatting>
  <conditionalFormatting sqref="B7:AF10 B14:AF15 E18:E29 R19:AB22 K21:P26 I23:I25 T24:W25 J25 Q26 B33:H37 I33:AF34 G39:J39">
    <cfRule type="cellIs" dxfId="0" priority="17" operator="equal">
      <formula>"C"</formula>
    </cfRule>
  </conditionalFormatting>
  <conditionalFormatting sqref="B7:AF10 B14:AF15 E18:E29 R19:AB22 K21:P26 I23:I25 T24:W25 J25 Q26 B33:H37 I33:AF34 G39:J39">
    <cfRule type="cellIs" dxfId="0" priority="18" operator="equal">
      <formula>"AL"</formula>
    </cfRule>
  </conditionalFormatting>
  <conditionalFormatting sqref="B7:AF10 B14:AF15 E18:E29 R19:AB22 K21:P26 I23:I25 T24:W25 J25 Q26 B33:H37 I33:AF34 G39:J39">
    <cfRule type="cellIs" dxfId="4" priority="19" operator="equal">
      <formula>"UP"</formula>
    </cfRule>
  </conditionalFormatting>
  <conditionalFormatting sqref="B7:AF10 B14:AF15 E18:E29 R19:AB22 K21:P26 I23:I25 T24:W25 J25 Q26 B33:H37 I33:AF34 G39:J39">
    <cfRule type="cellIs" dxfId="0" priority="20" operator="equal">
      <formula>"S"</formula>
    </cfRule>
  </conditionalFormatting>
  <conditionalFormatting sqref="B7:AF10 B14:AF15 E18:E29 R19:AB22 K21:P26 I23:I25 T24:W25 J25 Q26 B33:H37 I33:AF34 G39:J39">
    <cfRule type="cellIs" dxfId="5" priority="21" operator="equal">
      <formula>"OC"</formula>
    </cfRule>
  </conditionalFormatting>
  <conditionalFormatting sqref="B7:AF10 B14:AF15 E18:E29 R19:AB22 K21:P26 I23:I25 T24:W25 J25 Q26 B33:H37 I33:AF34 G39:J39">
    <cfRule type="cellIs" dxfId="6" priority="22" operator="equal">
      <formula>"SPV"</formula>
    </cfRule>
  </conditionalFormatting>
  <conditionalFormatting sqref="B7:AF10 B14:AF15 E18:E29 R19:AB22 K21:P26 I23:I25 T24:W25 J25 Q26 B33:H37 I33:AF34 G39:J39">
    <cfRule type="cellIs" dxfId="7" priority="23" operator="equal">
      <formula>"INT"</formula>
    </cfRule>
  </conditionalFormatting>
  <conditionalFormatting sqref="B7:AF10 B14:AF15 R19:AB22 K21:P25 T24:W25 J25 B33:AF34">
    <cfRule type="cellIs" dxfId="8" priority="24" operator="equal">
      <formula>"T"</formula>
    </cfRule>
  </conditionalFormatting>
  <conditionalFormatting sqref="E28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128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6</v>
      </c>
      <c r="C4" s="10" t="s">
        <v>7</v>
      </c>
      <c r="D4" s="10" t="s">
        <v>8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2</v>
      </c>
      <c r="M4" s="10" t="s">
        <v>3</v>
      </c>
      <c r="N4" s="10" t="s">
        <v>4</v>
      </c>
      <c r="O4" s="10" t="s">
        <v>5</v>
      </c>
      <c r="P4" s="10" t="s">
        <v>6</v>
      </c>
      <c r="Q4" s="10" t="s">
        <v>7</v>
      </c>
      <c r="R4" s="10" t="s">
        <v>8</v>
      </c>
      <c r="S4" s="10" t="s">
        <v>2</v>
      </c>
      <c r="T4" s="10" t="s">
        <v>3</v>
      </c>
      <c r="U4" s="10" t="s">
        <v>4</v>
      </c>
      <c r="V4" s="10" t="s">
        <v>5</v>
      </c>
      <c r="W4" s="10" t="s">
        <v>6</v>
      </c>
      <c r="X4" s="10" t="s">
        <v>7</v>
      </c>
      <c r="Y4" s="10" t="s">
        <v>8</v>
      </c>
      <c r="Z4" s="10" t="s">
        <v>2</v>
      </c>
      <c r="AA4" s="10" t="s">
        <v>3</v>
      </c>
      <c r="AB4" s="10" t="s">
        <v>4</v>
      </c>
      <c r="AC4" s="10" t="s">
        <v>5</v>
      </c>
      <c r="AD4" s="10" t="s">
        <v>6</v>
      </c>
      <c r="AE4" s="10" t="s">
        <v>7</v>
      </c>
      <c r="AF4" s="10" t="s">
        <v>8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12"/>
      <c r="B6" s="68"/>
      <c r="C6" s="68"/>
      <c r="D6" s="68"/>
      <c r="E6" s="68"/>
      <c r="F6" s="71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40</v>
      </c>
      <c r="C7" s="69" t="s">
        <v>40</v>
      </c>
      <c r="D7" s="69" t="s">
        <v>38</v>
      </c>
      <c r="E7" s="69" t="s">
        <v>38</v>
      </c>
      <c r="F7" s="69" t="s">
        <v>40</v>
      </c>
      <c r="G7" s="69" t="s">
        <v>40</v>
      </c>
      <c r="H7" s="69" t="s">
        <v>39</v>
      </c>
      <c r="I7" s="60" t="s">
        <v>39</v>
      </c>
      <c r="J7" s="60" t="s">
        <v>40</v>
      </c>
      <c r="K7" s="60" t="s">
        <v>40</v>
      </c>
      <c r="L7" s="60" t="s">
        <v>38</v>
      </c>
      <c r="M7" s="61" t="s">
        <v>38</v>
      </c>
      <c r="N7" s="61" t="s">
        <v>40</v>
      </c>
      <c r="O7" s="61" t="s">
        <v>40</v>
      </c>
      <c r="P7" s="70" t="s">
        <v>39</v>
      </c>
      <c r="Q7" s="70" t="s">
        <v>39</v>
      </c>
      <c r="R7" s="70" t="s">
        <v>40</v>
      </c>
      <c r="S7" s="70" t="s">
        <v>40</v>
      </c>
      <c r="T7" s="70" t="s">
        <v>38</v>
      </c>
      <c r="U7" s="70" t="s">
        <v>38</v>
      </c>
      <c r="V7" s="70" t="s">
        <v>38</v>
      </c>
      <c r="W7" s="71" t="s">
        <v>40</v>
      </c>
      <c r="X7" s="71" t="s">
        <v>39</v>
      </c>
      <c r="Y7" s="71" t="s">
        <v>39</v>
      </c>
      <c r="Z7" s="71" t="s">
        <v>40</v>
      </c>
      <c r="AA7" s="71" t="s">
        <v>40</v>
      </c>
      <c r="AB7" s="71" t="s">
        <v>38</v>
      </c>
      <c r="AC7" s="71" t="s">
        <v>38</v>
      </c>
      <c r="AD7" s="71" t="s">
        <v>40</v>
      </c>
      <c r="AE7" s="71" t="s">
        <v>40</v>
      </c>
      <c r="AF7" s="71" t="s">
        <v>60</v>
      </c>
      <c r="AG7" s="49">
        <f t="shared" ref="AG7:AG10" si="1">COUNTIF(B7:AF7,"D")</f>
        <v>9</v>
      </c>
      <c r="AH7" s="49">
        <f t="shared" ref="AH7:AH10" si="2">COUNTIF(B7:AF7,"N")</f>
        <v>6</v>
      </c>
      <c r="AI7" s="49">
        <f t="shared" ref="AI7:AI10" si="3">COUNTIF(B7:AF7,"X")</f>
        <v>15</v>
      </c>
      <c r="AJ7" s="49">
        <f t="shared" ref="AJ7:AJ10" si="4">AG7+AH7</f>
        <v>15</v>
      </c>
      <c r="AK7" s="84">
        <f t="shared" ref="AK7:AK10" si="5">(AJ7*12)/4.4</f>
        <v>40.90909091</v>
      </c>
    </row>
    <row r="8">
      <c r="A8" s="13" t="s">
        <v>45</v>
      </c>
      <c r="B8" s="69" t="s">
        <v>40</v>
      </c>
      <c r="C8" s="69" t="s">
        <v>60</v>
      </c>
      <c r="D8" s="69" t="s">
        <v>39</v>
      </c>
      <c r="E8" s="69" t="s">
        <v>39</v>
      </c>
      <c r="F8" s="69" t="s">
        <v>40</v>
      </c>
      <c r="G8" s="69" t="s">
        <v>40</v>
      </c>
      <c r="H8" s="69" t="s">
        <v>38</v>
      </c>
      <c r="I8" s="69" t="s">
        <v>38</v>
      </c>
      <c r="J8" s="69" t="s">
        <v>40</v>
      </c>
      <c r="K8" s="69" t="s">
        <v>40</v>
      </c>
      <c r="L8" s="69" t="s">
        <v>39</v>
      </c>
      <c r="M8" s="69" t="s">
        <v>39</v>
      </c>
      <c r="N8" s="69" t="s">
        <v>40</v>
      </c>
      <c r="O8" s="69" t="s">
        <v>40</v>
      </c>
      <c r="P8" s="60" t="s">
        <v>38</v>
      </c>
      <c r="Q8" s="60" t="s">
        <v>38</v>
      </c>
      <c r="R8" s="60" t="s">
        <v>40</v>
      </c>
      <c r="S8" s="60" t="s">
        <v>44</v>
      </c>
      <c r="T8" s="60" t="s">
        <v>44</v>
      </c>
      <c r="U8" s="60" t="s">
        <v>44</v>
      </c>
      <c r="V8" s="60" t="s">
        <v>44</v>
      </c>
      <c r="W8" s="88" t="s">
        <v>44</v>
      </c>
      <c r="X8" s="88" t="s">
        <v>40</v>
      </c>
      <c r="Y8" s="88" t="s">
        <v>40</v>
      </c>
      <c r="Z8" s="70" t="s">
        <v>39</v>
      </c>
      <c r="AA8" s="70" t="s">
        <v>39</v>
      </c>
      <c r="AB8" s="70" t="s">
        <v>40</v>
      </c>
      <c r="AC8" s="70" t="s">
        <v>40</v>
      </c>
      <c r="AD8" s="70" t="s">
        <v>38</v>
      </c>
      <c r="AE8" s="70" t="s">
        <v>38</v>
      </c>
      <c r="AF8" s="70" t="s">
        <v>40</v>
      </c>
      <c r="AG8" s="49">
        <f t="shared" si="1"/>
        <v>6</v>
      </c>
      <c r="AH8" s="49">
        <f t="shared" si="2"/>
        <v>6</v>
      </c>
      <c r="AI8" s="49">
        <f t="shared" si="3"/>
        <v>13</v>
      </c>
      <c r="AJ8" s="49">
        <f t="shared" si="4"/>
        <v>12</v>
      </c>
      <c r="AK8" s="84">
        <f t="shared" si="5"/>
        <v>32.72727273</v>
      </c>
    </row>
    <row r="9">
      <c r="A9" s="13" t="s">
        <v>73</v>
      </c>
      <c r="B9" s="60" t="s">
        <v>38</v>
      </c>
      <c r="C9" s="60" t="s">
        <v>40</v>
      </c>
      <c r="D9" s="60" t="s">
        <v>40</v>
      </c>
      <c r="E9" s="60" t="s">
        <v>40</v>
      </c>
      <c r="F9" s="60" t="s">
        <v>39</v>
      </c>
      <c r="G9" s="61" t="s">
        <v>39</v>
      </c>
      <c r="H9" s="60" t="s">
        <v>40</v>
      </c>
      <c r="I9" s="88" t="s">
        <v>40</v>
      </c>
      <c r="J9" s="70" t="s">
        <v>38</v>
      </c>
      <c r="K9" s="70" t="s">
        <v>38</v>
      </c>
      <c r="L9" s="88" t="s">
        <v>40</v>
      </c>
      <c r="M9" s="88" t="s">
        <v>40</v>
      </c>
      <c r="N9" s="70" t="s">
        <v>39</v>
      </c>
      <c r="O9" s="70" t="s">
        <v>39</v>
      </c>
      <c r="P9" s="88" t="s">
        <v>40</v>
      </c>
      <c r="Q9" s="88" t="s">
        <v>40</v>
      </c>
      <c r="R9" s="70" t="s">
        <v>38</v>
      </c>
      <c r="S9" s="70" t="s">
        <v>38</v>
      </c>
      <c r="T9" s="70" t="s">
        <v>40</v>
      </c>
      <c r="U9" s="70" t="s">
        <v>39</v>
      </c>
      <c r="V9" s="70" t="s">
        <v>39</v>
      </c>
      <c r="W9" s="60" t="s">
        <v>39</v>
      </c>
      <c r="X9" s="60" t="s">
        <v>40</v>
      </c>
      <c r="Y9" s="60" t="s">
        <v>40</v>
      </c>
      <c r="Z9" s="60" t="s">
        <v>38</v>
      </c>
      <c r="AA9" s="60" t="s">
        <v>38</v>
      </c>
      <c r="AB9" s="61" t="s">
        <v>40</v>
      </c>
      <c r="AC9" s="61" t="s">
        <v>40</v>
      </c>
      <c r="AD9" s="61" t="s">
        <v>39</v>
      </c>
      <c r="AE9" s="61" t="s">
        <v>39</v>
      </c>
      <c r="AF9" s="61" t="s">
        <v>39</v>
      </c>
      <c r="AG9" s="49">
        <f t="shared" si="1"/>
        <v>7</v>
      </c>
      <c r="AH9" s="49">
        <f t="shared" si="2"/>
        <v>10</v>
      </c>
      <c r="AI9" s="49">
        <f t="shared" si="3"/>
        <v>14</v>
      </c>
      <c r="AJ9" s="49">
        <f t="shared" si="4"/>
        <v>17</v>
      </c>
      <c r="AK9" s="84">
        <f t="shared" si="5"/>
        <v>46.36363636</v>
      </c>
    </row>
    <row r="10">
      <c r="A10" s="13" t="s">
        <v>48</v>
      </c>
      <c r="B10" s="69" t="s">
        <v>39</v>
      </c>
      <c r="C10" s="69" t="s">
        <v>39</v>
      </c>
      <c r="D10" s="69" t="s">
        <v>40</v>
      </c>
      <c r="E10" s="69" t="s">
        <v>40</v>
      </c>
      <c r="F10" s="69" t="s">
        <v>38</v>
      </c>
      <c r="G10" s="69" t="s">
        <v>38</v>
      </c>
      <c r="H10" s="90" t="s">
        <v>40</v>
      </c>
      <c r="I10" s="90" t="s">
        <v>40</v>
      </c>
      <c r="J10" s="69" t="s">
        <v>39</v>
      </c>
      <c r="K10" s="69" t="s">
        <v>39</v>
      </c>
      <c r="L10" s="90" t="s">
        <v>40</v>
      </c>
      <c r="M10" s="90" t="s">
        <v>40</v>
      </c>
      <c r="N10" s="69" t="s">
        <v>38</v>
      </c>
      <c r="O10" s="69" t="s">
        <v>38</v>
      </c>
      <c r="P10" s="90" t="s">
        <v>40</v>
      </c>
      <c r="Q10" s="90" t="s">
        <v>40</v>
      </c>
      <c r="R10" s="69" t="s">
        <v>39</v>
      </c>
      <c r="S10" s="69" t="s">
        <v>39</v>
      </c>
      <c r="T10" s="69" t="s">
        <v>39</v>
      </c>
      <c r="U10" s="90" t="s">
        <v>40</v>
      </c>
      <c r="V10" s="90" t="s">
        <v>40</v>
      </c>
      <c r="W10" s="70" t="s">
        <v>38</v>
      </c>
      <c r="X10" s="70" t="s">
        <v>38</v>
      </c>
      <c r="Y10" s="70" t="s">
        <v>38</v>
      </c>
      <c r="Z10" s="70" t="s">
        <v>40</v>
      </c>
      <c r="AA10" s="70" t="s">
        <v>40</v>
      </c>
      <c r="AB10" s="70" t="s">
        <v>39</v>
      </c>
      <c r="AC10" s="70" t="s">
        <v>39</v>
      </c>
      <c r="AD10" s="70" t="s">
        <v>40</v>
      </c>
      <c r="AE10" s="70" t="s">
        <v>40</v>
      </c>
      <c r="AF10" s="70" t="s">
        <v>38</v>
      </c>
      <c r="AG10" s="49">
        <f t="shared" si="1"/>
        <v>8</v>
      </c>
      <c r="AH10" s="49">
        <f t="shared" si="2"/>
        <v>9</v>
      </c>
      <c r="AI10" s="49">
        <f t="shared" si="3"/>
        <v>14</v>
      </c>
      <c r="AJ10" s="49">
        <f t="shared" si="4"/>
        <v>17</v>
      </c>
      <c r="AK10" s="84">
        <f t="shared" si="5"/>
        <v>46.36363636</v>
      </c>
    </row>
    <row r="11">
      <c r="A11" s="23" t="s">
        <v>49</v>
      </c>
      <c r="B11" s="24">
        <f t="shared" ref="B11:AF11" si="6">COUNTIF(B7:B10,"D")</f>
        <v>1</v>
      </c>
      <c r="C11" s="24">
        <f t="shared" si="6"/>
        <v>0</v>
      </c>
      <c r="D11" s="24">
        <f t="shared" si="6"/>
        <v>1</v>
      </c>
      <c r="E11" s="24">
        <f t="shared" si="6"/>
        <v>1</v>
      </c>
      <c r="F11" s="24">
        <f t="shared" si="6"/>
        <v>1</v>
      </c>
      <c r="G11" s="24">
        <f t="shared" si="6"/>
        <v>1</v>
      </c>
      <c r="H11" s="24">
        <f t="shared" si="6"/>
        <v>1</v>
      </c>
      <c r="I11" s="24">
        <f t="shared" si="6"/>
        <v>1</v>
      </c>
      <c r="J11" s="24">
        <f t="shared" si="6"/>
        <v>1</v>
      </c>
      <c r="K11" s="24">
        <f t="shared" si="6"/>
        <v>1</v>
      </c>
      <c r="L11" s="24">
        <f t="shared" si="6"/>
        <v>1</v>
      </c>
      <c r="M11" s="24">
        <f t="shared" si="6"/>
        <v>1</v>
      </c>
      <c r="N11" s="24">
        <f t="shared" si="6"/>
        <v>1</v>
      </c>
      <c r="O11" s="24">
        <f t="shared" si="6"/>
        <v>1</v>
      </c>
      <c r="P11" s="24">
        <f t="shared" si="6"/>
        <v>1</v>
      </c>
      <c r="Q11" s="24">
        <f t="shared" si="6"/>
        <v>1</v>
      </c>
      <c r="R11" s="24">
        <f t="shared" si="6"/>
        <v>1</v>
      </c>
      <c r="S11" s="24">
        <f t="shared" si="6"/>
        <v>1</v>
      </c>
      <c r="T11" s="24">
        <f t="shared" si="6"/>
        <v>1</v>
      </c>
      <c r="U11" s="24">
        <f t="shared" si="6"/>
        <v>1</v>
      </c>
      <c r="V11" s="24">
        <f t="shared" si="6"/>
        <v>1</v>
      </c>
      <c r="W11" s="24">
        <f t="shared" si="6"/>
        <v>1</v>
      </c>
      <c r="X11" s="24">
        <f t="shared" si="6"/>
        <v>1</v>
      </c>
      <c r="Y11" s="24">
        <f t="shared" si="6"/>
        <v>1</v>
      </c>
      <c r="Z11" s="24">
        <f t="shared" si="6"/>
        <v>1</v>
      </c>
      <c r="AA11" s="24">
        <f t="shared" si="6"/>
        <v>1</v>
      </c>
      <c r="AB11" s="24">
        <f t="shared" si="6"/>
        <v>1</v>
      </c>
      <c r="AC11" s="24">
        <f t="shared" si="6"/>
        <v>1</v>
      </c>
      <c r="AD11" s="24">
        <f t="shared" si="6"/>
        <v>1</v>
      </c>
      <c r="AE11" s="24">
        <f t="shared" si="6"/>
        <v>1</v>
      </c>
      <c r="AF11" s="24">
        <f t="shared" si="6"/>
        <v>1</v>
      </c>
    </row>
    <row r="12">
      <c r="A12" s="26" t="s">
        <v>50</v>
      </c>
      <c r="B12" s="27">
        <f t="shared" ref="B12:AF12" si="7">COUNTIF(B7:B10,"N")</f>
        <v>1</v>
      </c>
      <c r="C12" s="27">
        <f t="shared" si="7"/>
        <v>1</v>
      </c>
      <c r="D12" s="27">
        <f t="shared" si="7"/>
        <v>1</v>
      </c>
      <c r="E12" s="27">
        <f t="shared" si="7"/>
        <v>1</v>
      </c>
      <c r="F12" s="27">
        <f t="shared" si="7"/>
        <v>1</v>
      </c>
      <c r="G12" s="27">
        <f t="shared" si="7"/>
        <v>1</v>
      </c>
      <c r="H12" s="27">
        <f t="shared" si="7"/>
        <v>1</v>
      </c>
      <c r="I12" s="27">
        <f t="shared" si="7"/>
        <v>1</v>
      </c>
      <c r="J12" s="27">
        <f t="shared" si="7"/>
        <v>1</v>
      </c>
      <c r="K12" s="27">
        <f t="shared" si="7"/>
        <v>1</v>
      </c>
      <c r="L12" s="27">
        <f t="shared" si="7"/>
        <v>1</v>
      </c>
      <c r="M12" s="27">
        <f t="shared" si="7"/>
        <v>1</v>
      </c>
      <c r="N12" s="27">
        <f t="shared" si="7"/>
        <v>1</v>
      </c>
      <c r="O12" s="27">
        <f t="shared" si="7"/>
        <v>1</v>
      </c>
      <c r="P12" s="27">
        <f t="shared" si="7"/>
        <v>1</v>
      </c>
      <c r="Q12" s="27">
        <f t="shared" si="7"/>
        <v>1</v>
      </c>
      <c r="R12" s="27">
        <f t="shared" si="7"/>
        <v>1</v>
      </c>
      <c r="S12" s="27">
        <f t="shared" si="7"/>
        <v>1</v>
      </c>
      <c r="T12" s="27">
        <f t="shared" si="7"/>
        <v>1</v>
      </c>
      <c r="U12" s="27">
        <f t="shared" si="7"/>
        <v>1</v>
      </c>
      <c r="V12" s="27">
        <f t="shared" si="7"/>
        <v>1</v>
      </c>
      <c r="W12" s="27">
        <f t="shared" si="7"/>
        <v>1</v>
      </c>
      <c r="X12" s="27">
        <f t="shared" si="7"/>
        <v>1</v>
      </c>
      <c r="Y12" s="27">
        <f t="shared" si="7"/>
        <v>1</v>
      </c>
      <c r="Z12" s="27">
        <f t="shared" si="7"/>
        <v>1</v>
      </c>
      <c r="AA12" s="27">
        <f t="shared" si="7"/>
        <v>1</v>
      </c>
      <c r="AB12" s="27">
        <f t="shared" si="7"/>
        <v>1</v>
      </c>
      <c r="AC12" s="27">
        <f t="shared" si="7"/>
        <v>1</v>
      </c>
      <c r="AD12" s="27">
        <f t="shared" si="7"/>
        <v>1</v>
      </c>
      <c r="AE12" s="27">
        <f t="shared" si="7"/>
        <v>1</v>
      </c>
      <c r="AF12" s="27">
        <f t="shared" si="7"/>
        <v>1</v>
      </c>
    </row>
    <row r="13">
      <c r="B13" s="85" t="s">
        <v>120</v>
      </c>
      <c r="AG13" s="44" t="s">
        <v>38</v>
      </c>
      <c r="AH13" s="45" t="s">
        <v>39</v>
      </c>
      <c r="AI13" s="46" t="s">
        <v>40</v>
      </c>
      <c r="AJ13" s="48" t="s">
        <v>42</v>
      </c>
      <c r="AK13" s="54" t="s">
        <v>76</v>
      </c>
    </row>
    <row r="14">
      <c r="A14" s="13" t="s">
        <v>104</v>
      </c>
      <c r="B14" s="69" t="s">
        <v>38</v>
      </c>
      <c r="C14" s="69" t="s">
        <v>40</v>
      </c>
      <c r="D14" s="69" t="s">
        <v>40</v>
      </c>
      <c r="E14" s="69" t="s">
        <v>40</v>
      </c>
      <c r="F14" s="69" t="s">
        <v>39</v>
      </c>
      <c r="G14" s="69" t="s">
        <v>39</v>
      </c>
      <c r="H14" s="69" t="s">
        <v>39</v>
      </c>
      <c r="I14" s="69" t="s">
        <v>39</v>
      </c>
      <c r="J14" s="69" t="s">
        <v>39</v>
      </c>
      <c r="K14" s="69" t="s">
        <v>40</v>
      </c>
      <c r="L14" s="69" t="s">
        <v>40</v>
      </c>
      <c r="M14" s="69" t="s">
        <v>39</v>
      </c>
      <c r="N14" s="69" t="s">
        <v>39</v>
      </c>
      <c r="O14" s="69" t="s">
        <v>39</v>
      </c>
      <c r="P14" s="69" t="s">
        <v>39</v>
      </c>
      <c r="Q14" s="69" t="s">
        <v>39</v>
      </c>
      <c r="R14" s="69" t="s">
        <v>40</v>
      </c>
      <c r="S14" s="69" t="s">
        <v>38</v>
      </c>
      <c r="T14" s="69" t="s">
        <v>38</v>
      </c>
      <c r="U14" s="69" t="s">
        <v>38</v>
      </c>
      <c r="V14" s="69" t="s">
        <v>38</v>
      </c>
      <c r="W14" s="69" t="s">
        <v>38</v>
      </c>
      <c r="X14" s="69" t="s">
        <v>40</v>
      </c>
      <c r="Y14" s="69" t="s">
        <v>40</v>
      </c>
      <c r="Z14" s="69" t="s">
        <v>38</v>
      </c>
      <c r="AA14" s="69" t="s">
        <v>38</v>
      </c>
      <c r="AB14" s="69" t="s">
        <v>38</v>
      </c>
      <c r="AC14" s="69" t="s">
        <v>38</v>
      </c>
      <c r="AD14" s="69" t="s">
        <v>38</v>
      </c>
      <c r="AE14" s="69" t="s">
        <v>40</v>
      </c>
      <c r="AF14" s="69" t="s">
        <v>40</v>
      </c>
      <c r="AG14" s="49">
        <f t="shared" ref="AG14:AG15" si="8">COUNTIF(B14:AF14,"D")</f>
        <v>11</v>
      </c>
      <c r="AH14" s="49">
        <f t="shared" ref="AH14:AH15" si="9">COUNTIF(B14:AF14,"N")</f>
        <v>10</v>
      </c>
      <c r="AI14" s="49">
        <f t="shared" ref="AI14:AI15" si="10">COUNTIF(B14:AF14,"X")</f>
        <v>10</v>
      </c>
      <c r="AJ14" s="49">
        <f t="shared" ref="AJ14:AJ15" si="11">AG14+AH14</f>
        <v>21</v>
      </c>
      <c r="AK14" s="84">
        <f t="shared" ref="AK14:AK15" si="12">(AJ14*10)/4</f>
        <v>52.5</v>
      </c>
    </row>
    <row r="15">
      <c r="A15" s="13" t="s">
        <v>121</v>
      </c>
      <c r="B15" s="69" t="s">
        <v>39</v>
      </c>
      <c r="C15" s="69" t="s">
        <v>39</v>
      </c>
      <c r="D15" s="69" t="s">
        <v>40</v>
      </c>
      <c r="E15" s="69" t="s">
        <v>38</v>
      </c>
      <c r="F15" s="69" t="s">
        <v>38</v>
      </c>
      <c r="G15" s="69" t="s">
        <v>38</v>
      </c>
      <c r="H15" s="69" t="s">
        <v>38</v>
      </c>
      <c r="I15" s="69" t="s">
        <v>38</v>
      </c>
      <c r="J15" s="69" t="s">
        <v>40</v>
      </c>
      <c r="K15" s="69" t="s">
        <v>40</v>
      </c>
      <c r="L15" s="69" t="s">
        <v>38</v>
      </c>
      <c r="M15" s="69" t="s">
        <v>38</v>
      </c>
      <c r="N15" s="69" t="s">
        <v>38</v>
      </c>
      <c r="O15" s="69" t="s">
        <v>38</v>
      </c>
      <c r="P15" s="69" t="s">
        <v>38</v>
      </c>
      <c r="Q15" s="69" t="s">
        <v>40</v>
      </c>
      <c r="R15" s="69" t="s">
        <v>40</v>
      </c>
      <c r="S15" s="69" t="s">
        <v>40</v>
      </c>
      <c r="T15" s="69" t="s">
        <v>39</v>
      </c>
      <c r="U15" s="69" t="s">
        <v>39</v>
      </c>
      <c r="V15" s="69" t="s">
        <v>39</v>
      </c>
      <c r="W15" s="69" t="s">
        <v>39</v>
      </c>
      <c r="X15" s="69" t="s">
        <v>39</v>
      </c>
      <c r="Y15" s="69" t="s">
        <v>40</v>
      </c>
      <c r="Z15" s="69" t="s">
        <v>40</v>
      </c>
      <c r="AA15" s="69" t="s">
        <v>39</v>
      </c>
      <c r="AB15" s="69" t="s">
        <v>39</v>
      </c>
      <c r="AC15" s="69" t="s">
        <v>39</v>
      </c>
      <c r="AD15" s="69" t="s">
        <v>39</v>
      </c>
      <c r="AE15" s="69" t="s">
        <v>39</v>
      </c>
      <c r="AF15" s="69" t="s">
        <v>40</v>
      </c>
      <c r="AG15" s="49">
        <f t="shared" si="8"/>
        <v>10</v>
      </c>
      <c r="AH15" s="49">
        <f t="shared" si="9"/>
        <v>12</v>
      </c>
      <c r="AI15" s="49">
        <f t="shared" si="10"/>
        <v>9</v>
      </c>
      <c r="AJ15" s="49">
        <f t="shared" si="11"/>
        <v>22</v>
      </c>
      <c r="AK15" s="84">
        <f t="shared" si="12"/>
        <v>55</v>
      </c>
    </row>
    <row r="16">
      <c r="I16" s="28"/>
      <c r="J16" s="28"/>
      <c r="K16" s="28"/>
      <c r="L16" s="28"/>
      <c r="M16" s="28"/>
      <c r="N16" s="28"/>
      <c r="O16" s="28"/>
      <c r="AG16" s="53"/>
      <c r="AH16" s="53"/>
      <c r="AI16" s="53"/>
      <c r="AJ16" s="53"/>
      <c r="AK16" s="53"/>
    </row>
    <row r="17">
      <c r="E17" s="29" t="s">
        <v>51</v>
      </c>
      <c r="F17" s="30"/>
      <c r="G17" s="30"/>
      <c r="H17" s="31"/>
      <c r="I17" s="32"/>
      <c r="J17" s="28"/>
      <c r="K17" s="28"/>
      <c r="L17" s="62"/>
      <c r="M17" s="28"/>
      <c r="N17" s="28"/>
      <c r="O17" s="28"/>
      <c r="AG17" s="22"/>
      <c r="AH17" s="22"/>
      <c r="AI17" s="22"/>
      <c r="AJ17" s="22"/>
      <c r="AK17" s="22"/>
    </row>
    <row r="18">
      <c r="E18" s="33" t="s">
        <v>38</v>
      </c>
      <c r="F18" s="1" t="s">
        <v>52</v>
      </c>
      <c r="H18" s="34"/>
      <c r="I18" s="28"/>
      <c r="J18" s="10" t="s">
        <v>2</v>
      </c>
      <c r="K18" s="10" t="s">
        <v>3</v>
      </c>
      <c r="L18" s="10" t="s">
        <v>4</v>
      </c>
      <c r="M18" s="10" t="s">
        <v>5</v>
      </c>
      <c r="N18" s="86"/>
      <c r="O18" s="11"/>
      <c r="P18" s="11"/>
      <c r="Q18" s="13"/>
      <c r="R18" s="11"/>
      <c r="S18" s="11"/>
      <c r="T18" s="11"/>
      <c r="U18" s="11"/>
      <c r="V18" s="11"/>
      <c r="W18" s="11"/>
      <c r="AG18" s="22"/>
      <c r="AH18" s="22"/>
      <c r="AI18" s="22"/>
      <c r="AJ18" s="22"/>
      <c r="AK18" s="22"/>
    </row>
    <row r="19">
      <c r="E19" s="33" t="s">
        <v>39</v>
      </c>
      <c r="F19" s="1" t="s">
        <v>53</v>
      </c>
      <c r="H19" s="34"/>
      <c r="J19" s="13" t="s">
        <v>35</v>
      </c>
      <c r="K19" s="13" t="s">
        <v>36</v>
      </c>
      <c r="L19" s="13" t="s">
        <v>37</v>
      </c>
      <c r="M19" s="13" t="s">
        <v>70</v>
      </c>
      <c r="N19" s="87"/>
      <c r="O19" s="13"/>
      <c r="P19" s="13"/>
      <c r="Q19" s="13"/>
      <c r="R19" s="70"/>
      <c r="S19" s="70"/>
      <c r="T19" s="70"/>
      <c r="U19" s="70"/>
      <c r="V19" s="71"/>
      <c r="W19" s="71"/>
      <c r="X19" s="71"/>
      <c r="Y19" s="71"/>
      <c r="Z19" s="71"/>
      <c r="AA19" s="71"/>
      <c r="AB19" s="71"/>
      <c r="AG19" s="22"/>
      <c r="AH19" s="22"/>
      <c r="AI19" s="22"/>
      <c r="AJ19" s="22"/>
      <c r="AK19" s="22"/>
    </row>
    <row r="20">
      <c r="E20" s="33" t="s">
        <v>41</v>
      </c>
      <c r="F20" s="1" t="s">
        <v>54</v>
      </c>
      <c r="H20" s="34"/>
      <c r="J20" s="68"/>
      <c r="K20" s="68"/>
      <c r="L20" s="68"/>
      <c r="M20" s="68"/>
      <c r="N20" s="68"/>
      <c r="O20" s="68"/>
      <c r="P20" s="68"/>
      <c r="R20" s="60"/>
      <c r="S20" s="60"/>
      <c r="T20" s="61"/>
      <c r="U20" s="61"/>
      <c r="V20" s="70"/>
      <c r="W20" s="70"/>
      <c r="X20" s="70" t="s">
        <v>122</v>
      </c>
      <c r="Y20" s="70"/>
      <c r="Z20" s="70"/>
      <c r="AA20" s="70"/>
      <c r="AB20" s="70"/>
      <c r="AG20" s="22"/>
      <c r="AH20" s="22"/>
      <c r="AI20" s="22"/>
      <c r="AJ20" s="22"/>
      <c r="AK20" s="22"/>
    </row>
    <row r="21">
      <c r="E21" s="33" t="s">
        <v>55</v>
      </c>
      <c r="F21" s="1" t="s">
        <v>56</v>
      </c>
      <c r="H21" s="34"/>
      <c r="J21" s="71" t="s">
        <v>40</v>
      </c>
      <c r="K21" s="71" t="s">
        <v>40</v>
      </c>
      <c r="L21" s="71" t="s">
        <v>39</v>
      </c>
      <c r="M21" s="71" t="s">
        <v>60</v>
      </c>
      <c r="N21" s="71"/>
      <c r="O21" s="70"/>
      <c r="P21" s="70"/>
      <c r="Q21" s="19"/>
      <c r="R21" s="70"/>
      <c r="S21" s="70"/>
      <c r="T21" s="70"/>
      <c r="U21" s="70"/>
      <c r="V21" s="60"/>
      <c r="W21" s="60"/>
      <c r="X21" s="60" t="s">
        <v>123</v>
      </c>
      <c r="Y21" s="60" t="s">
        <v>124</v>
      </c>
      <c r="Z21" s="60"/>
      <c r="AA21" s="61"/>
      <c r="AB21" s="61"/>
    </row>
    <row r="22">
      <c r="E22" s="33" t="s">
        <v>40</v>
      </c>
      <c r="F22" s="1" t="s">
        <v>57</v>
      </c>
      <c r="H22" s="34"/>
      <c r="J22" s="70" t="s">
        <v>40</v>
      </c>
      <c r="K22" s="70" t="s">
        <v>40</v>
      </c>
      <c r="L22" s="70" t="s">
        <v>38</v>
      </c>
      <c r="M22" s="70" t="s">
        <v>40</v>
      </c>
      <c r="N22" s="70"/>
      <c r="O22" s="60"/>
      <c r="P22" s="60"/>
      <c r="Q22" s="13"/>
      <c r="R22" s="69"/>
      <c r="S22" s="69"/>
      <c r="T22" s="69"/>
      <c r="U22" s="69"/>
      <c r="V22" s="70"/>
      <c r="W22" s="70"/>
      <c r="X22" s="88" t="s">
        <v>125</v>
      </c>
      <c r="Y22" s="88" t="s">
        <v>126</v>
      </c>
      <c r="Z22" s="70"/>
      <c r="AA22" s="70"/>
      <c r="AB22" s="70"/>
    </row>
    <row r="23">
      <c r="E23" s="33" t="s">
        <v>58</v>
      </c>
      <c r="F23" s="1" t="s">
        <v>59</v>
      </c>
      <c r="H23" s="34"/>
      <c r="I23" s="72"/>
      <c r="J23" s="61" t="s">
        <v>39</v>
      </c>
      <c r="K23" s="61" t="s">
        <v>39</v>
      </c>
      <c r="L23" s="61" t="s">
        <v>40</v>
      </c>
      <c r="M23" s="61" t="s">
        <v>38</v>
      </c>
      <c r="N23" s="68"/>
      <c r="O23" s="70"/>
      <c r="P23" s="70"/>
      <c r="Q23" s="13"/>
      <c r="T23" s="20"/>
      <c r="U23" s="20"/>
      <c r="V23" s="20"/>
      <c r="W23" s="20"/>
      <c r="X23" s="13"/>
    </row>
    <row r="24">
      <c r="E24" s="33" t="s">
        <v>60</v>
      </c>
      <c r="F24" s="1" t="s">
        <v>61</v>
      </c>
      <c r="H24" s="34"/>
      <c r="I24" s="20"/>
      <c r="J24" s="70" t="s">
        <v>38</v>
      </c>
      <c r="K24" s="70" t="s">
        <v>38</v>
      </c>
      <c r="L24" s="70" t="s">
        <v>40</v>
      </c>
      <c r="M24" s="70" t="s">
        <v>39</v>
      </c>
      <c r="N24" s="61"/>
      <c r="O24" s="69"/>
      <c r="P24" s="69"/>
      <c r="Q24" s="13"/>
      <c r="T24" s="20"/>
      <c r="U24" s="20"/>
      <c r="V24" s="20"/>
      <c r="W24" s="20"/>
      <c r="X24" s="89" t="s">
        <v>127</v>
      </c>
    </row>
    <row r="25">
      <c r="E25" s="33" t="s">
        <v>44</v>
      </c>
      <c r="F25" s="1" t="s">
        <v>62</v>
      </c>
      <c r="H25" s="34"/>
      <c r="I25" s="20"/>
      <c r="J25" s="24">
        <f t="shared" ref="J25:M25" si="13">COUNTIF(J21:J24,"D")</f>
        <v>1</v>
      </c>
      <c r="K25" s="24">
        <f t="shared" si="13"/>
        <v>1</v>
      </c>
      <c r="L25" s="24">
        <f t="shared" si="13"/>
        <v>1</v>
      </c>
      <c r="M25" s="24">
        <f t="shared" si="13"/>
        <v>1</v>
      </c>
      <c r="N25" s="25"/>
      <c r="O25" s="55"/>
      <c r="P25" s="55"/>
      <c r="Q25" s="13"/>
      <c r="T25" s="20"/>
      <c r="U25" s="20"/>
      <c r="V25" s="20"/>
      <c r="W25" s="20"/>
    </row>
    <row r="26">
      <c r="E26" s="33" t="s">
        <v>63</v>
      </c>
      <c r="F26" s="1" t="s">
        <v>64</v>
      </c>
      <c r="H26" s="34"/>
      <c r="J26" s="27">
        <f t="shared" ref="J26:M26" si="14">COUNTIF(J21:J24,"N")</f>
        <v>1</v>
      </c>
      <c r="K26" s="27">
        <f t="shared" si="14"/>
        <v>1</v>
      </c>
      <c r="L26" s="27">
        <f t="shared" si="14"/>
        <v>1</v>
      </c>
      <c r="M26" s="27">
        <f t="shared" si="14"/>
        <v>1</v>
      </c>
      <c r="N26" s="25"/>
      <c r="O26" s="20"/>
      <c r="P26" s="20"/>
      <c r="Q26" s="20"/>
    </row>
    <row r="27">
      <c r="E27" s="33" t="s">
        <v>65</v>
      </c>
      <c r="F27" s="1" t="s">
        <v>66</v>
      </c>
      <c r="H27" s="34"/>
    </row>
    <row r="28">
      <c r="E28" s="33" t="s">
        <v>46</v>
      </c>
      <c r="F28" s="1" t="s">
        <v>67</v>
      </c>
      <c r="H28" s="34"/>
    </row>
    <row r="29">
      <c r="E29" s="35" t="s">
        <v>68</v>
      </c>
      <c r="F29" s="36" t="s">
        <v>69</v>
      </c>
      <c r="G29" s="8"/>
      <c r="H29" s="37"/>
    </row>
    <row r="32">
      <c r="A32" s="6"/>
      <c r="B32" s="11"/>
      <c r="C32" s="11"/>
      <c r="D32" s="11"/>
      <c r="E32" s="11"/>
      <c r="F32" s="11"/>
      <c r="G32" s="11"/>
      <c r="H32" s="11"/>
    </row>
    <row r="33">
      <c r="A33" s="13" t="s">
        <v>104</v>
      </c>
      <c r="B33" s="90"/>
      <c r="C33" s="69"/>
      <c r="D33" s="69"/>
      <c r="E33" s="69"/>
      <c r="F33" s="69"/>
      <c r="G33" s="69"/>
      <c r="H33" s="69" t="s">
        <v>38</v>
      </c>
      <c r="I33" s="69" t="s">
        <v>38</v>
      </c>
      <c r="J33" s="69" t="s">
        <v>38</v>
      </c>
      <c r="K33" s="69" t="s">
        <v>38</v>
      </c>
      <c r="L33" s="69" t="s">
        <v>38</v>
      </c>
      <c r="M33" s="69" t="s">
        <v>40</v>
      </c>
      <c r="N33" s="69" t="s">
        <v>40</v>
      </c>
      <c r="O33" s="69" t="s">
        <v>38</v>
      </c>
      <c r="P33" s="69" t="s">
        <v>38</v>
      </c>
      <c r="Q33" s="69" t="s">
        <v>38</v>
      </c>
      <c r="R33" s="69" t="s">
        <v>38</v>
      </c>
      <c r="S33" s="69" t="s">
        <v>38</v>
      </c>
      <c r="T33" s="69" t="s">
        <v>40</v>
      </c>
      <c r="U33" s="69" t="s">
        <v>40</v>
      </c>
      <c r="V33" s="69" t="s">
        <v>40</v>
      </c>
      <c r="W33" s="69" t="s">
        <v>39</v>
      </c>
      <c r="X33" s="69" t="s">
        <v>39</v>
      </c>
      <c r="Y33" s="69" t="s">
        <v>39</v>
      </c>
      <c r="Z33" s="69" t="s">
        <v>39</v>
      </c>
      <c r="AA33" s="69" t="s">
        <v>39</v>
      </c>
      <c r="AB33" s="69" t="s">
        <v>40</v>
      </c>
      <c r="AC33" s="69" t="s">
        <v>40</v>
      </c>
      <c r="AD33" s="69" t="s">
        <v>39</v>
      </c>
      <c r="AE33" s="69" t="s">
        <v>39</v>
      </c>
      <c r="AF33" s="69" t="s">
        <v>39</v>
      </c>
    </row>
    <row r="34">
      <c r="A34" s="13" t="s">
        <v>121</v>
      </c>
      <c r="B34" s="69"/>
      <c r="C34" s="69"/>
      <c r="D34" s="69"/>
      <c r="E34" s="69"/>
      <c r="F34" s="69"/>
      <c r="G34" s="69"/>
      <c r="H34" s="69"/>
      <c r="I34" s="69" t="s">
        <v>39</v>
      </c>
      <c r="J34" s="69" t="s">
        <v>39</v>
      </c>
      <c r="K34" s="69" t="s">
        <v>39</v>
      </c>
      <c r="L34" s="69" t="s">
        <v>39</v>
      </c>
      <c r="M34" s="69" t="s">
        <v>39</v>
      </c>
      <c r="N34" s="69" t="s">
        <v>40</v>
      </c>
      <c r="O34" s="69" t="s">
        <v>40</v>
      </c>
      <c r="P34" s="69" t="s">
        <v>39</v>
      </c>
      <c r="Q34" s="69" t="s">
        <v>39</v>
      </c>
      <c r="R34" s="69" t="s">
        <v>39</v>
      </c>
      <c r="S34" s="69" t="s">
        <v>39</v>
      </c>
      <c r="T34" s="69" t="s">
        <v>39</v>
      </c>
      <c r="U34" s="69" t="s">
        <v>40</v>
      </c>
      <c r="V34" s="69" t="s">
        <v>38</v>
      </c>
      <c r="W34" s="69" t="s">
        <v>38</v>
      </c>
      <c r="X34" s="69" t="s">
        <v>38</v>
      </c>
      <c r="Y34" s="69" t="s">
        <v>38</v>
      </c>
      <c r="Z34" s="69" t="s">
        <v>38</v>
      </c>
      <c r="AA34" s="69" t="s">
        <v>40</v>
      </c>
      <c r="AB34" s="69" t="s">
        <v>40</v>
      </c>
      <c r="AC34" s="69" t="s">
        <v>38</v>
      </c>
      <c r="AD34" s="69" t="s">
        <v>38</v>
      </c>
      <c r="AE34" s="69" t="s">
        <v>38</v>
      </c>
      <c r="AF34" s="69" t="s">
        <v>38</v>
      </c>
    </row>
    <row r="35">
      <c r="A35" s="13"/>
      <c r="B35" s="20"/>
      <c r="C35" s="20"/>
      <c r="D35" s="20"/>
      <c r="E35" s="20"/>
      <c r="F35" s="20"/>
      <c r="G35" s="20"/>
      <c r="H35" s="20"/>
    </row>
    <row r="36">
      <c r="A36" s="13"/>
      <c r="B36" s="20"/>
      <c r="C36" s="20"/>
      <c r="D36" s="20"/>
      <c r="E36" s="66"/>
      <c r="F36" s="66"/>
      <c r="G36" s="67"/>
      <c r="H36" s="67"/>
    </row>
    <row r="37">
      <c r="A37" s="13"/>
      <c r="B37" s="20"/>
      <c r="C37" s="20"/>
      <c r="D37" s="20"/>
      <c r="E37" s="20"/>
      <c r="F37" s="20"/>
      <c r="G37" s="20"/>
      <c r="H37" s="20"/>
    </row>
  </sheetData>
  <mergeCells count="16">
    <mergeCell ref="B1:AC3"/>
    <mergeCell ref="B13:AF13"/>
    <mergeCell ref="E17:H17"/>
    <mergeCell ref="F18:H18"/>
    <mergeCell ref="F19:H19"/>
    <mergeCell ref="F20:H20"/>
    <mergeCell ref="F21:H21"/>
    <mergeCell ref="F28:H28"/>
    <mergeCell ref="F29:H29"/>
    <mergeCell ref="F22:H22"/>
    <mergeCell ref="F23:H23"/>
    <mergeCell ref="F24:H24"/>
    <mergeCell ref="X24:AE26"/>
    <mergeCell ref="F25:H25"/>
    <mergeCell ref="F26:H26"/>
    <mergeCell ref="F27:H27"/>
  </mergeCells>
  <conditionalFormatting sqref="B9:H9 T23:W23">
    <cfRule type="cellIs" dxfId="0" priority="1" operator="equal">
      <formula>"X"</formula>
    </cfRule>
  </conditionalFormatting>
  <conditionalFormatting sqref="B9:H9 T23:W23">
    <cfRule type="cellIs" dxfId="1" priority="2" operator="equal">
      <formula>"D"</formula>
    </cfRule>
  </conditionalFormatting>
  <conditionalFormatting sqref="B9:H9 T23:W23">
    <cfRule type="cellIs" dxfId="2" priority="3" operator="equal">
      <formula>"N"</formula>
    </cfRule>
  </conditionalFormatting>
  <conditionalFormatting sqref="B9:H9 T23:W23">
    <cfRule type="cellIs" dxfId="3" priority="4" operator="equal">
      <formula>"OB"</formula>
    </cfRule>
  </conditionalFormatting>
  <conditionalFormatting sqref="B9:H9 T23:W23">
    <cfRule type="cellIs" dxfId="0" priority="5" operator="equal">
      <formula>"C"</formula>
    </cfRule>
  </conditionalFormatting>
  <conditionalFormatting sqref="B9:H9 T23:W23">
    <cfRule type="cellIs" dxfId="0" priority="6" operator="equal">
      <formula>"AL"</formula>
    </cfRule>
  </conditionalFormatting>
  <conditionalFormatting sqref="B9:H9 T23:W23">
    <cfRule type="cellIs" dxfId="4" priority="7" operator="equal">
      <formula>"UP"</formula>
    </cfRule>
  </conditionalFormatting>
  <conditionalFormatting sqref="B9:H9 T23:W23">
    <cfRule type="cellIs" dxfId="0" priority="8" operator="equal">
      <formula>"S"</formula>
    </cfRule>
  </conditionalFormatting>
  <conditionalFormatting sqref="B9:H9 T23:W23">
    <cfRule type="cellIs" dxfId="5" priority="9" operator="equal">
      <formula>"OC"</formula>
    </cfRule>
  </conditionalFormatting>
  <conditionalFormatting sqref="B9:H9 T23:W23">
    <cfRule type="cellIs" dxfId="6" priority="10" operator="equal">
      <formula>"SPV"</formula>
    </cfRule>
  </conditionalFormatting>
  <conditionalFormatting sqref="B9:H9 T23:W23">
    <cfRule type="cellIs" dxfId="7" priority="11" operator="equal">
      <formula>"INT"</formula>
    </cfRule>
  </conditionalFormatting>
  <conditionalFormatting sqref="B9:H9 T23:W23">
    <cfRule type="cellIs" dxfId="8" priority="12" operator="equal">
      <formula>"T"</formula>
    </cfRule>
  </conditionalFormatting>
  <conditionalFormatting sqref="B7:AF10 B14:AF15 E18:E29 R19:AB22 J21:J25 K21:P26 I23:I25 T24:W25 Q26 B33:H37 I33:AF34 G39:J39">
    <cfRule type="cellIs" dxfId="0" priority="13" operator="equal">
      <formula>"X"</formula>
    </cfRule>
  </conditionalFormatting>
  <conditionalFormatting sqref="B7:AF10 B14:AF15 E18:E29 R19:AB22 J21:J25 K21:P26 I23:I25 T24:W25 Q26 B33:H37 I33:AF34 G39:J39">
    <cfRule type="cellIs" dxfId="1" priority="14" operator="equal">
      <formula>"D"</formula>
    </cfRule>
  </conditionalFormatting>
  <conditionalFormatting sqref="B7:AF10 B14:AF15 E18:E29 R19:AB22 J21:J25 K21:P26 I23:I25 T24:W25 Q26 B33:H37 I33:AF34 G39:J39">
    <cfRule type="cellIs" dxfId="2" priority="15" operator="equal">
      <formula>"N"</formula>
    </cfRule>
  </conditionalFormatting>
  <conditionalFormatting sqref="B7:AF10 B14:AF15 E18:E29 R19:AB22 J21:J25 K21:P26 I23:I25 T24:W25 Q26 B33:H37 I33:AF34 G39:J39">
    <cfRule type="cellIs" dxfId="3" priority="16" operator="equal">
      <formula>"OB"</formula>
    </cfRule>
  </conditionalFormatting>
  <conditionalFormatting sqref="B7:AF10 B14:AF15 E18:E29 R19:AB22 J21:J25 K21:P26 I23:I25 T24:W25 Q26 B33:H37 I33:AF34 G39:J39">
    <cfRule type="cellIs" dxfId="0" priority="17" operator="equal">
      <formula>"C"</formula>
    </cfRule>
  </conditionalFormatting>
  <conditionalFormatting sqref="B7:AF10 B14:AF15 E18:E29 R19:AB22 J21:J25 K21:P26 I23:I25 T24:W25 Q26 B33:H37 I33:AF34 G39:J39">
    <cfRule type="cellIs" dxfId="0" priority="18" operator="equal">
      <formula>"AL"</formula>
    </cfRule>
  </conditionalFormatting>
  <conditionalFormatting sqref="B7:AF10 B14:AF15 E18:E29 R19:AB22 J21:J25 K21:P26 I23:I25 T24:W25 Q26 B33:H37 I33:AF34 G39:J39">
    <cfRule type="cellIs" dxfId="4" priority="19" operator="equal">
      <formula>"UP"</formula>
    </cfRule>
  </conditionalFormatting>
  <conditionalFormatting sqref="B7:AF10 B14:AF15 E18:E29 R19:AB22 J21:J25 K21:P26 I23:I25 T24:W25 Q26 B33:H37 I33:AF34 G39:J39">
    <cfRule type="cellIs" dxfId="0" priority="20" operator="equal">
      <formula>"S"</formula>
    </cfRule>
  </conditionalFormatting>
  <conditionalFormatting sqref="B7:AF10 B14:AF15 E18:E29 R19:AB22 J21:J25 K21:P26 I23:I25 T24:W25 Q26 B33:H37 I33:AF34 G39:J39">
    <cfRule type="cellIs" dxfId="5" priority="21" operator="equal">
      <formula>"OC"</formula>
    </cfRule>
  </conditionalFormatting>
  <conditionalFormatting sqref="B7:AF10 B14:AF15 E18:E29 R19:AB22 J21:J25 K21:P26 I23:I25 T24:W25 Q26 B33:H37 I33:AF34 G39:J39">
    <cfRule type="cellIs" dxfId="6" priority="22" operator="equal">
      <formula>"SPV"</formula>
    </cfRule>
  </conditionalFormatting>
  <conditionalFormatting sqref="B7:AF10 B14:AF15 E18:E29 R19:AB22 J21:J25 K21:P26 I23:I25 T24:W25 Q26 B33:H37 I33:AF34 G39:J39">
    <cfRule type="cellIs" dxfId="7" priority="23" operator="equal">
      <formula>"INT"</formula>
    </cfRule>
  </conditionalFormatting>
  <conditionalFormatting sqref="B7:AF10 B14:AF15 R19:AB22 J21:P25 T24:W25 B33:AF34">
    <cfRule type="cellIs" dxfId="8" priority="24" operator="equal">
      <formula>"T"</formula>
    </cfRule>
  </conditionalFormatting>
  <conditionalFormatting sqref="E28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128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6</v>
      </c>
      <c r="C4" s="10" t="s">
        <v>7</v>
      </c>
      <c r="D4" s="10" t="s">
        <v>8</v>
      </c>
      <c r="E4" s="10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2</v>
      </c>
      <c r="M4" s="10" t="s">
        <v>3</v>
      </c>
      <c r="N4" s="10" t="s">
        <v>4</v>
      </c>
      <c r="O4" s="10" t="s">
        <v>5</v>
      </c>
      <c r="P4" s="10" t="s">
        <v>6</v>
      </c>
      <c r="Q4" s="10" t="s">
        <v>7</v>
      </c>
      <c r="R4" s="10" t="s">
        <v>8</v>
      </c>
      <c r="S4" s="10" t="s">
        <v>2</v>
      </c>
      <c r="T4" s="10" t="s">
        <v>3</v>
      </c>
      <c r="U4" s="10" t="s">
        <v>4</v>
      </c>
      <c r="V4" s="10" t="s">
        <v>5</v>
      </c>
      <c r="W4" s="10" t="s">
        <v>6</v>
      </c>
      <c r="X4" s="10" t="s">
        <v>7</v>
      </c>
      <c r="Y4" s="10" t="s">
        <v>8</v>
      </c>
      <c r="Z4" s="10" t="s">
        <v>2</v>
      </c>
      <c r="AA4" s="10" t="s">
        <v>3</v>
      </c>
      <c r="AB4" s="10" t="s">
        <v>4</v>
      </c>
      <c r="AC4" s="10" t="s">
        <v>5</v>
      </c>
      <c r="AD4" s="10" t="s">
        <v>6</v>
      </c>
      <c r="AE4" s="10" t="s">
        <v>7</v>
      </c>
      <c r="AF4" s="10" t="s">
        <v>8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12"/>
      <c r="B6" s="68"/>
      <c r="C6" s="68"/>
      <c r="D6" s="68"/>
      <c r="E6" s="68"/>
      <c r="F6" s="71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40</v>
      </c>
      <c r="C7" s="69" t="s">
        <v>40</v>
      </c>
      <c r="D7" s="69" t="s">
        <v>38</v>
      </c>
      <c r="E7" s="69" t="s">
        <v>38</v>
      </c>
      <c r="F7" s="69" t="s">
        <v>40</v>
      </c>
      <c r="G7" s="69" t="s">
        <v>40</v>
      </c>
      <c r="H7" s="69" t="s">
        <v>39</v>
      </c>
      <c r="I7" s="60" t="s">
        <v>39</v>
      </c>
      <c r="J7" s="60" t="s">
        <v>40</v>
      </c>
      <c r="K7" s="60" t="s">
        <v>40</v>
      </c>
      <c r="L7" s="60" t="s">
        <v>38</v>
      </c>
      <c r="M7" s="61" t="s">
        <v>38</v>
      </c>
      <c r="N7" s="61" t="s">
        <v>40</v>
      </c>
      <c r="O7" s="61" t="s">
        <v>40</v>
      </c>
      <c r="P7" s="70" t="s">
        <v>39</v>
      </c>
      <c r="Q7" s="70" t="s">
        <v>39</v>
      </c>
      <c r="R7" s="70" t="s">
        <v>40</v>
      </c>
      <c r="S7" s="70" t="s">
        <v>40</v>
      </c>
      <c r="T7" s="70" t="s">
        <v>38</v>
      </c>
      <c r="U7" s="70" t="s">
        <v>38</v>
      </c>
      <c r="V7" s="70" t="s">
        <v>38</v>
      </c>
      <c r="W7" s="71" t="s">
        <v>40</v>
      </c>
      <c r="X7" s="71" t="s">
        <v>39</v>
      </c>
      <c r="Y7" s="71" t="s">
        <v>39</v>
      </c>
      <c r="Z7" s="71" t="s">
        <v>39</v>
      </c>
      <c r="AA7" s="71" t="s">
        <v>40</v>
      </c>
      <c r="AB7" s="71" t="s">
        <v>38</v>
      </c>
      <c r="AC7" s="71" t="s">
        <v>39</v>
      </c>
      <c r="AD7" s="71" t="s">
        <v>60</v>
      </c>
      <c r="AE7" s="71" t="s">
        <v>40</v>
      </c>
      <c r="AF7" s="71" t="s">
        <v>39</v>
      </c>
      <c r="AG7" s="49">
        <f t="shared" ref="AG7:AG11" si="1">COUNTIF(B7:AF7,"D")</f>
        <v>8</v>
      </c>
      <c r="AH7" s="49">
        <f t="shared" ref="AH7:AH11" si="2">COUNTIF(B7:AF7,"N")</f>
        <v>9</v>
      </c>
      <c r="AI7" s="49">
        <f t="shared" ref="AI7:AI11" si="3">COUNTIF(B7:AF7,"X")</f>
        <v>13</v>
      </c>
      <c r="AJ7" s="49">
        <f t="shared" ref="AJ7:AJ11" si="4">AG7+AH7</f>
        <v>17</v>
      </c>
      <c r="AK7" s="84">
        <f t="shared" ref="AK7:AK11" si="5">(AJ7*12)/4.4</f>
        <v>46.36363636</v>
      </c>
    </row>
    <row r="8">
      <c r="A8" s="13" t="s">
        <v>45</v>
      </c>
      <c r="B8" s="69" t="s">
        <v>40</v>
      </c>
      <c r="C8" s="69" t="s">
        <v>38</v>
      </c>
      <c r="D8" s="69" t="s">
        <v>39</v>
      </c>
      <c r="E8" s="69" t="s">
        <v>39</v>
      </c>
      <c r="F8" s="69" t="s">
        <v>40</v>
      </c>
      <c r="G8" s="69" t="s">
        <v>40</v>
      </c>
      <c r="H8" s="69" t="s">
        <v>38</v>
      </c>
      <c r="I8" s="69" t="s">
        <v>38</v>
      </c>
      <c r="J8" s="69" t="s">
        <v>40</v>
      </c>
      <c r="K8" s="69" t="s">
        <v>40</v>
      </c>
      <c r="L8" s="69" t="s">
        <v>39</v>
      </c>
      <c r="M8" s="69" t="s">
        <v>39</v>
      </c>
      <c r="N8" s="69" t="s">
        <v>40</v>
      </c>
      <c r="O8" s="69" t="s">
        <v>40</v>
      </c>
      <c r="P8" s="60" t="s">
        <v>38</v>
      </c>
      <c r="Q8" s="60" t="s">
        <v>38</v>
      </c>
      <c r="R8" s="60" t="s">
        <v>38</v>
      </c>
      <c r="S8" s="60" t="s">
        <v>44</v>
      </c>
      <c r="T8" s="60" t="s">
        <v>44</v>
      </c>
      <c r="U8" s="60" t="s">
        <v>44</v>
      </c>
      <c r="V8" s="60" t="s">
        <v>44</v>
      </c>
      <c r="W8" s="88" t="s">
        <v>44</v>
      </c>
      <c r="X8" s="88" t="s">
        <v>40</v>
      </c>
      <c r="Y8" s="88" t="s">
        <v>40</v>
      </c>
      <c r="Z8" s="70" t="s">
        <v>63</v>
      </c>
      <c r="AA8" s="70" t="s">
        <v>63</v>
      </c>
      <c r="AB8" s="70" t="s">
        <v>63</v>
      </c>
      <c r="AC8" s="70" t="s">
        <v>63</v>
      </c>
      <c r="AD8" s="70" t="s">
        <v>63</v>
      </c>
      <c r="AE8" s="70" t="s">
        <v>63</v>
      </c>
      <c r="AF8" s="70" t="s">
        <v>63</v>
      </c>
      <c r="AG8" s="49">
        <f t="shared" si="1"/>
        <v>6</v>
      </c>
      <c r="AH8" s="49">
        <f t="shared" si="2"/>
        <v>4</v>
      </c>
      <c r="AI8" s="49">
        <f t="shared" si="3"/>
        <v>9</v>
      </c>
      <c r="AJ8" s="49">
        <f t="shared" si="4"/>
        <v>10</v>
      </c>
      <c r="AK8" s="84">
        <f t="shared" si="5"/>
        <v>27.27272727</v>
      </c>
    </row>
    <row r="9">
      <c r="A9" s="13" t="s">
        <v>73</v>
      </c>
      <c r="B9" s="60" t="s">
        <v>38</v>
      </c>
      <c r="C9" s="60" t="s">
        <v>40</v>
      </c>
      <c r="D9" s="60" t="s">
        <v>40</v>
      </c>
      <c r="E9" s="60" t="s">
        <v>40</v>
      </c>
      <c r="F9" s="60" t="s">
        <v>39</v>
      </c>
      <c r="G9" s="61" t="s">
        <v>39</v>
      </c>
      <c r="H9" s="60" t="s">
        <v>40</v>
      </c>
      <c r="I9" s="88" t="s">
        <v>40</v>
      </c>
      <c r="J9" s="70" t="s">
        <v>38</v>
      </c>
      <c r="K9" s="70" t="s">
        <v>38</v>
      </c>
      <c r="L9" s="88" t="s">
        <v>40</v>
      </c>
      <c r="M9" s="88" t="s">
        <v>40</v>
      </c>
      <c r="N9" s="70" t="s">
        <v>39</v>
      </c>
      <c r="O9" s="70" t="s">
        <v>39</v>
      </c>
      <c r="P9" s="88" t="s">
        <v>40</v>
      </c>
      <c r="Q9" s="88" t="s">
        <v>40</v>
      </c>
      <c r="R9" s="70" t="s">
        <v>60</v>
      </c>
      <c r="S9" s="70" t="s">
        <v>38</v>
      </c>
      <c r="T9" s="70" t="s">
        <v>40</v>
      </c>
      <c r="U9" s="70" t="s">
        <v>39</v>
      </c>
      <c r="V9" s="70" t="s">
        <v>39</v>
      </c>
      <c r="W9" s="60" t="s">
        <v>39</v>
      </c>
      <c r="X9" s="60" t="s">
        <v>40</v>
      </c>
      <c r="Y9" s="60" t="s">
        <v>40</v>
      </c>
      <c r="Z9" s="60" t="s">
        <v>38</v>
      </c>
      <c r="AA9" s="60" t="s">
        <v>38</v>
      </c>
      <c r="AB9" s="61" t="s">
        <v>40</v>
      </c>
      <c r="AC9" s="61" t="s">
        <v>65</v>
      </c>
      <c r="AD9" s="61" t="s">
        <v>39</v>
      </c>
      <c r="AE9" s="61" t="s">
        <v>39</v>
      </c>
      <c r="AF9" s="61" t="s">
        <v>40</v>
      </c>
      <c r="AG9" s="49">
        <f t="shared" si="1"/>
        <v>6</v>
      </c>
      <c r="AH9" s="49">
        <f t="shared" si="2"/>
        <v>9</v>
      </c>
      <c r="AI9" s="49">
        <f t="shared" si="3"/>
        <v>14</v>
      </c>
      <c r="AJ9" s="49">
        <f t="shared" si="4"/>
        <v>15</v>
      </c>
      <c r="AK9" s="84">
        <f t="shared" si="5"/>
        <v>40.90909091</v>
      </c>
    </row>
    <row r="10">
      <c r="A10" s="13" t="s">
        <v>48</v>
      </c>
      <c r="B10" s="69" t="s">
        <v>39</v>
      </c>
      <c r="C10" s="69" t="s">
        <v>39</v>
      </c>
      <c r="D10" s="69" t="s">
        <v>40</v>
      </c>
      <c r="E10" s="69" t="s">
        <v>40</v>
      </c>
      <c r="F10" s="69" t="s">
        <v>38</v>
      </c>
      <c r="G10" s="69" t="s">
        <v>38</v>
      </c>
      <c r="H10" s="90" t="s">
        <v>40</v>
      </c>
      <c r="I10" s="90" t="s">
        <v>40</v>
      </c>
      <c r="J10" s="69" t="s">
        <v>39</v>
      </c>
      <c r="K10" s="69" t="s">
        <v>39</v>
      </c>
      <c r="L10" s="90" t="s">
        <v>40</v>
      </c>
      <c r="M10" s="90" t="s">
        <v>40</v>
      </c>
      <c r="N10" s="69" t="s">
        <v>38</v>
      </c>
      <c r="O10" s="69" t="s">
        <v>38</v>
      </c>
      <c r="P10" s="90" t="s">
        <v>40</v>
      </c>
      <c r="Q10" s="90" t="s">
        <v>40</v>
      </c>
      <c r="R10" s="69" t="s">
        <v>39</v>
      </c>
      <c r="S10" s="69" t="s">
        <v>39</v>
      </c>
      <c r="T10" s="69" t="s">
        <v>39</v>
      </c>
      <c r="U10" s="90" t="s">
        <v>40</v>
      </c>
      <c r="V10" s="90" t="s">
        <v>40</v>
      </c>
      <c r="W10" s="70" t="s">
        <v>38</v>
      </c>
      <c r="X10" s="70" t="s">
        <v>38</v>
      </c>
      <c r="Y10" s="70" t="s">
        <v>38</v>
      </c>
      <c r="Z10" s="70" t="s">
        <v>40</v>
      </c>
      <c r="AA10" s="70" t="s">
        <v>39</v>
      </c>
      <c r="AB10" s="70" t="s">
        <v>39</v>
      </c>
      <c r="AC10" s="70" t="s">
        <v>40</v>
      </c>
      <c r="AD10" s="70" t="s">
        <v>40</v>
      </c>
      <c r="AE10" s="70" t="s">
        <v>40</v>
      </c>
      <c r="AF10" s="70" t="s">
        <v>38</v>
      </c>
      <c r="AG10" s="49">
        <f t="shared" si="1"/>
        <v>8</v>
      </c>
      <c r="AH10" s="49">
        <f t="shared" si="2"/>
        <v>9</v>
      </c>
      <c r="AI10" s="49">
        <f t="shared" si="3"/>
        <v>14</v>
      </c>
      <c r="AJ10" s="49">
        <f t="shared" si="4"/>
        <v>17</v>
      </c>
      <c r="AK10" s="84">
        <f t="shared" si="5"/>
        <v>46.36363636</v>
      </c>
    </row>
    <row r="11">
      <c r="A11" s="13" t="s">
        <v>84</v>
      </c>
      <c r="B11" s="69"/>
      <c r="C11" s="69"/>
      <c r="D11" s="69"/>
      <c r="E11" s="69"/>
      <c r="F11" s="69"/>
      <c r="G11" s="69"/>
      <c r="H11" s="90"/>
      <c r="I11" s="90"/>
      <c r="J11" s="69"/>
      <c r="K11" s="69"/>
      <c r="L11" s="90"/>
      <c r="M11" s="90"/>
      <c r="N11" s="69"/>
      <c r="O11" s="69"/>
      <c r="P11" s="90"/>
      <c r="Q11" s="90"/>
      <c r="R11" s="69"/>
      <c r="S11" s="69"/>
      <c r="T11" s="69"/>
      <c r="U11" s="90"/>
      <c r="V11" s="90"/>
      <c r="W11" s="70"/>
      <c r="X11" s="70"/>
      <c r="Y11" s="70"/>
      <c r="Z11" s="70"/>
      <c r="AA11" s="70"/>
      <c r="AB11" s="70" t="s">
        <v>58</v>
      </c>
      <c r="AC11" s="70" t="s">
        <v>38</v>
      </c>
      <c r="AD11" s="70" t="s">
        <v>38</v>
      </c>
      <c r="AE11" s="70" t="s">
        <v>38</v>
      </c>
      <c r="AF11" s="70" t="s">
        <v>40</v>
      </c>
      <c r="AG11" s="49">
        <f t="shared" si="1"/>
        <v>3</v>
      </c>
      <c r="AH11" s="49">
        <f t="shared" si="2"/>
        <v>0</v>
      </c>
      <c r="AI11" s="49">
        <f t="shared" si="3"/>
        <v>1</v>
      </c>
      <c r="AJ11" s="49">
        <f t="shared" si="4"/>
        <v>3</v>
      </c>
      <c r="AK11" s="84">
        <f t="shared" si="5"/>
        <v>8.181818182</v>
      </c>
    </row>
    <row r="12">
      <c r="A12" s="23" t="s">
        <v>49</v>
      </c>
      <c r="B12" s="24">
        <f t="shared" ref="B12:AF12" si="6">COUNTIF(B7:B11,"D")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1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1</v>
      </c>
      <c r="AB12" s="24">
        <f t="shared" si="6"/>
        <v>1</v>
      </c>
      <c r="AC12" s="24">
        <f t="shared" si="6"/>
        <v>1</v>
      </c>
      <c r="AD12" s="24">
        <f t="shared" si="6"/>
        <v>1</v>
      </c>
      <c r="AE12" s="24">
        <f t="shared" si="6"/>
        <v>1</v>
      </c>
      <c r="AF12" s="24">
        <f t="shared" si="6"/>
        <v>1</v>
      </c>
    </row>
    <row r="13">
      <c r="A13" s="26" t="s">
        <v>50</v>
      </c>
      <c r="B13" s="27">
        <f t="shared" ref="B13:D13" si="7">COUNTIF(B7:B11,"N")</f>
        <v>1</v>
      </c>
      <c r="C13" s="27">
        <f t="shared" si="7"/>
        <v>1</v>
      </c>
      <c r="D13" s="27">
        <f t="shared" si="7"/>
        <v>1</v>
      </c>
      <c r="E13" s="27">
        <f>COUNTIF(E1:E11,"N")</f>
        <v>1</v>
      </c>
      <c r="F13" s="27">
        <f t="shared" ref="F13:AF13" si="8">COUNTIF(F7:F11,"N")</f>
        <v>1</v>
      </c>
      <c r="G13" s="27">
        <f t="shared" si="8"/>
        <v>1</v>
      </c>
      <c r="H13" s="27">
        <f t="shared" si="8"/>
        <v>1</v>
      </c>
      <c r="I13" s="27">
        <f t="shared" si="8"/>
        <v>1</v>
      </c>
      <c r="J13" s="27">
        <f t="shared" si="8"/>
        <v>1</v>
      </c>
      <c r="K13" s="27">
        <f t="shared" si="8"/>
        <v>1</v>
      </c>
      <c r="L13" s="27">
        <f t="shared" si="8"/>
        <v>1</v>
      </c>
      <c r="M13" s="27">
        <f t="shared" si="8"/>
        <v>1</v>
      </c>
      <c r="N13" s="27">
        <f t="shared" si="8"/>
        <v>1</v>
      </c>
      <c r="O13" s="27">
        <f t="shared" si="8"/>
        <v>1</v>
      </c>
      <c r="P13" s="27">
        <f t="shared" si="8"/>
        <v>1</v>
      </c>
      <c r="Q13" s="27">
        <f t="shared" si="8"/>
        <v>1</v>
      </c>
      <c r="R13" s="27">
        <f t="shared" si="8"/>
        <v>1</v>
      </c>
      <c r="S13" s="27">
        <f t="shared" si="8"/>
        <v>1</v>
      </c>
      <c r="T13" s="27">
        <f t="shared" si="8"/>
        <v>1</v>
      </c>
      <c r="U13" s="27">
        <f t="shared" si="8"/>
        <v>1</v>
      </c>
      <c r="V13" s="27">
        <f t="shared" si="8"/>
        <v>1</v>
      </c>
      <c r="W13" s="27">
        <f t="shared" si="8"/>
        <v>1</v>
      </c>
      <c r="X13" s="27">
        <f t="shared" si="8"/>
        <v>1</v>
      </c>
      <c r="Y13" s="27">
        <f t="shared" si="8"/>
        <v>1</v>
      </c>
      <c r="Z13" s="27">
        <f t="shared" si="8"/>
        <v>1</v>
      </c>
      <c r="AA13" s="27">
        <f t="shared" si="8"/>
        <v>1</v>
      </c>
      <c r="AB13" s="27">
        <f t="shared" si="8"/>
        <v>1</v>
      </c>
      <c r="AC13" s="27">
        <f t="shared" si="8"/>
        <v>1</v>
      </c>
      <c r="AD13" s="27">
        <f t="shared" si="8"/>
        <v>1</v>
      </c>
      <c r="AE13" s="27">
        <f t="shared" si="8"/>
        <v>1</v>
      </c>
      <c r="AF13" s="27">
        <f t="shared" si="8"/>
        <v>1</v>
      </c>
    </row>
    <row r="14" ht="16.5" customHeight="1">
      <c r="B14" s="85" t="s">
        <v>120</v>
      </c>
      <c r="AG14" s="44" t="s">
        <v>38</v>
      </c>
      <c r="AH14" s="45" t="s">
        <v>39</v>
      </c>
      <c r="AI14" s="46" t="s">
        <v>40</v>
      </c>
      <c r="AJ14" s="48" t="s">
        <v>42</v>
      </c>
      <c r="AK14" s="54" t="s">
        <v>76</v>
      </c>
    </row>
    <row r="15">
      <c r="A15" s="13" t="s">
        <v>104</v>
      </c>
      <c r="B15" s="69" t="s">
        <v>38</v>
      </c>
      <c r="C15" s="69" t="s">
        <v>40</v>
      </c>
      <c r="D15" s="69" t="s">
        <v>40</v>
      </c>
      <c r="E15" s="69" t="s">
        <v>40</v>
      </c>
      <c r="F15" s="69" t="s">
        <v>39</v>
      </c>
      <c r="G15" s="69" t="s">
        <v>39</v>
      </c>
      <c r="H15" s="69" t="s">
        <v>39</v>
      </c>
      <c r="I15" s="69" t="s">
        <v>39</v>
      </c>
      <c r="J15" s="69" t="s">
        <v>40</v>
      </c>
      <c r="K15" s="69" t="s">
        <v>40</v>
      </c>
      <c r="L15" s="69" t="s">
        <v>44</v>
      </c>
      <c r="M15" s="69" t="s">
        <v>39</v>
      </c>
      <c r="N15" s="69" t="s">
        <v>39</v>
      </c>
      <c r="O15" s="69" t="s">
        <v>39</v>
      </c>
      <c r="P15" s="69" t="s">
        <v>39</v>
      </c>
      <c r="Q15" s="69" t="s">
        <v>39</v>
      </c>
      <c r="R15" s="69" t="s">
        <v>40</v>
      </c>
      <c r="S15" s="69" t="s">
        <v>38</v>
      </c>
      <c r="T15" s="69" t="s">
        <v>38</v>
      </c>
      <c r="U15" s="69" t="s">
        <v>38</v>
      </c>
      <c r="V15" s="69" t="s">
        <v>38</v>
      </c>
      <c r="W15" s="69" t="s">
        <v>38</v>
      </c>
      <c r="X15" s="69" t="s">
        <v>40</v>
      </c>
      <c r="Y15" s="69" t="s">
        <v>40</v>
      </c>
      <c r="Z15" s="69" t="s">
        <v>38</v>
      </c>
      <c r="AA15" s="69" t="s">
        <v>38</v>
      </c>
      <c r="AB15" s="69" t="s">
        <v>38</v>
      </c>
      <c r="AC15" s="69" t="s">
        <v>38</v>
      </c>
      <c r="AD15" s="69" t="s">
        <v>38</v>
      </c>
      <c r="AE15" s="69" t="s">
        <v>40</v>
      </c>
      <c r="AF15" s="69" t="s">
        <v>40</v>
      </c>
      <c r="AG15" s="49">
        <f t="shared" ref="AG15:AG16" si="9">COUNTIF(B15:AF15,"D")</f>
        <v>11</v>
      </c>
      <c r="AH15" s="49">
        <f t="shared" ref="AH15:AH16" si="10">COUNTIF(B15:AF15,"N")</f>
        <v>9</v>
      </c>
      <c r="AI15" s="49">
        <f t="shared" ref="AI15:AI16" si="11">COUNTIF(B15:AF15,"X")</f>
        <v>10</v>
      </c>
      <c r="AJ15" s="49">
        <f t="shared" ref="AJ15:AJ16" si="12">AG15+AH15</f>
        <v>20</v>
      </c>
      <c r="AK15" s="84">
        <f t="shared" ref="AK15:AK16" si="13">(AJ15*10)/4</f>
        <v>50</v>
      </c>
    </row>
    <row r="16">
      <c r="A16" s="13" t="s">
        <v>121</v>
      </c>
      <c r="B16" s="69" t="s">
        <v>39</v>
      </c>
      <c r="C16" s="69" t="s">
        <v>39</v>
      </c>
      <c r="D16" s="69" t="s">
        <v>40</v>
      </c>
      <c r="E16" s="69" t="s">
        <v>38</v>
      </c>
      <c r="F16" s="69" t="s">
        <v>38</v>
      </c>
      <c r="G16" s="69" t="s">
        <v>38</v>
      </c>
      <c r="H16" s="69" t="s">
        <v>38</v>
      </c>
      <c r="I16" s="69" t="s">
        <v>38</v>
      </c>
      <c r="J16" s="69" t="s">
        <v>40</v>
      </c>
      <c r="K16" s="69" t="s">
        <v>40</v>
      </c>
      <c r="L16" s="69" t="s">
        <v>38</v>
      </c>
      <c r="M16" s="69" t="s">
        <v>38</v>
      </c>
      <c r="N16" s="69" t="s">
        <v>38</v>
      </c>
      <c r="O16" s="69" t="s">
        <v>38</v>
      </c>
      <c r="P16" s="69" t="s">
        <v>60</v>
      </c>
      <c r="Q16" s="69" t="s">
        <v>40</v>
      </c>
      <c r="R16" s="69" t="s">
        <v>40</v>
      </c>
      <c r="S16" s="69" t="s">
        <v>40</v>
      </c>
      <c r="T16" s="69" t="s">
        <v>39</v>
      </c>
      <c r="U16" s="69" t="s">
        <v>39</v>
      </c>
      <c r="V16" s="69" t="s">
        <v>39</v>
      </c>
      <c r="W16" s="69" t="s">
        <v>39</v>
      </c>
      <c r="X16" s="69" t="s">
        <v>40</v>
      </c>
      <c r="Y16" s="69" t="s">
        <v>39</v>
      </c>
      <c r="Z16" s="69" t="s">
        <v>40</v>
      </c>
      <c r="AA16" s="69" t="s">
        <v>39</v>
      </c>
      <c r="AB16" s="69" t="s">
        <v>39</v>
      </c>
      <c r="AC16" s="69" t="s">
        <v>39</v>
      </c>
      <c r="AD16" s="69" t="s">
        <v>39</v>
      </c>
      <c r="AE16" s="69" t="s">
        <v>40</v>
      </c>
      <c r="AF16" s="69" t="s">
        <v>40</v>
      </c>
      <c r="AG16" s="49">
        <f t="shared" si="9"/>
        <v>9</v>
      </c>
      <c r="AH16" s="49">
        <f t="shared" si="10"/>
        <v>11</v>
      </c>
      <c r="AI16" s="49">
        <f t="shared" si="11"/>
        <v>10</v>
      </c>
      <c r="AJ16" s="49">
        <f t="shared" si="12"/>
        <v>20</v>
      </c>
      <c r="AK16" s="84">
        <f t="shared" si="13"/>
        <v>50</v>
      </c>
    </row>
    <row r="17">
      <c r="B17" s="24">
        <f t="shared" ref="B17:AF17" si="14">COUNTIF(B15:B16,"D")</f>
        <v>1</v>
      </c>
      <c r="C17" s="24">
        <f t="shared" si="14"/>
        <v>0</v>
      </c>
      <c r="D17" s="24">
        <f t="shared" si="14"/>
        <v>0</v>
      </c>
      <c r="E17" s="24">
        <f t="shared" si="14"/>
        <v>1</v>
      </c>
      <c r="F17" s="24">
        <f t="shared" si="14"/>
        <v>1</v>
      </c>
      <c r="G17" s="24">
        <f t="shared" si="14"/>
        <v>1</v>
      </c>
      <c r="H17" s="24">
        <f t="shared" si="14"/>
        <v>1</v>
      </c>
      <c r="I17" s="24">
        <f t="shared" si="14"/>
        <v>1</v>
      </c>
      <c r="J17" s="24">
        <f t="shared" si="14"/>
        <v>0</v>
      </c>
      <c r="K17" s="24">
        <f t="shared" si="14"/>
        <v>0</v>
      </c>
      <c r="L17" s="24">
        <f t="shared" si="14"/>
        <v>1</v>
      </c>
      <c r="M17" s="24">
        <f t="shared" si="14"/>
        <v>1</v>
      </c>
      <c r="N17" s="24">
        <f t="shared" si="14"/>
        <v>1</v>
      </c>
      <c r="O17" s="24">
        <f t="shared" si="14"/>
        <v>1</v>
      </c>
      <c r="P17" s="24">
        <f t="shared" si="14"/>
        <v>0</v>
      </c>
      <c r="Q17" s="24">
        <f t="shared" si="14"/>
        <v>0</v>
      </c>
      <c r="R17" s="24">
        <f t="shared" si="14"/>
        <v>0</v>
      </c>
      <c r="S17" s="24">
        <f t="shared" si="14"/>
        <v>1</v>
      </c>
      <c r="T17" s="24">
        <f t="shared" si="14"/>
        <v>1</v>
      </c>
      <c r="U17" s="24">
        <f t="shared" si="14"/>
        <v>1</v>
      </c>
      <c r="V17" s="24">
        <f t="shared" si="14"/>
        <v>1</v>
      </c>
      <c r="W17" s="24">
        <f t="shared" si="14"/>
        <v>1</v>
      </c>
      <c r="X17" s="24">
        <f t="shared" si="14"/>
        <v>0</v>
      </c>
      <c r="Y17" s="24">
        <f t="shared" si="14"/>
        <v>0</v>
      </c>
      <c r="Z17" s="24">
        <f t="shared" si="14"/>
        <v>1</v>
      </c>
      <c r="AA17" s="24">
        <f t="shared" si="14"/>
        <v>1</v>
      </c>
      <c r="AB17" s="24">
        <f t="shared" si="14"/>
        <v>1</v>
      </c>
      <c r="AC17" s="24">
        <f t="shared" si="14"/>
        <v>1</v>
      </c>
      <c r="AD17" s="24">
        <f t="shared" si="14"/>
        <v>1</v>
      </c>
      <c r="AE17" s="24">
        <f t="shared" si="14"/>
        <v>0</v>
      </c>
      <c r="AF17" s="24">
        <f t="shared" si="14"/>
        <v>0</v>
      </c>
      <c r="AG17" s="53"/>
      <c r="AH17" s="53"/>
      <c r="AI17" s="53"/>
      <c r="AJ17" s="53"/>
      <c r="AK17" s="53"/>
    </row>
    <row r="18">
      <c r="B18" s="27">
        <f t="shared" ref="B18:AF18" si="15">COUNTIF(B15:B16,"N")</f>
        <v>1</v>
      </c>
      <c r="C18" s="27">
        <f t="shared" si="15"/>
        <v>1</v>
      </c>
      <c r="D18" s="27">
        <f t="shared" si="15"/>
        <v>0</v>
      </c>
      <c r="E18" s="27">
        <f t="shared" si="15"/>
        <v>0</v>
      </c>
      <c r="F18" s="27">
        <f t="shared" si="15"/>
        <v>1</v>
      </c>
      <c r="G18" s="27">
        <f t="shared" si="15"/>
        <v>1</v>
      </c>
      <c r="H18" s="27">
        <f t="shared" si="15"/>
        <v>1</v>
      </c>
      <c r="I18" s="27">
        <f t="shared" si="15"/>
        <v>1</v>
      </c>
      <c r="J18" s="27">
        <f t="shared" si="15"/>
        <v>0</v>
      </c>
      <c r="K18" s="27">
        <f t="shared" si="15"/>
        <v>0</v>
      </c>
      <c r="L18" s="27">
        <f t="shared" si="15"/>
        <v>0</v>
      </c>
      <c r="M18" s="27">
        <f t="shared" si="15"/>
        <v>1</v>
      </c>
      <c r="N18" s="27">
        <f t="shared" si="15"/>
        <v>1</v>
      </c>
      <c r="O18" s="27">
        <f t="shared" si="15"/>
        <v>1</v>
      </c>
      <c r="P18" s="27">
        <f t="shared" si="15"/>
        <v>1</v>
      </c>
      <c r="Q18" s="27">
        <f t="shared" si="15"/>
        <v>1</v>
      </c>
      <c r="R18" s="27">
        <f t="shared" si="15"/>
        <v>0</v>
      </c>
      <c r="S18" s="27">
        <f t="shared" si="15"/>
        <v>0</v>
      </c>
      <c r="T18" s="27">
        <f t="shared" si="15"/>
        <v>1</v>
      </c>
      <c r="U18" s="27">
        <f t="shared" si="15"/>
        <v>1</v>
      </c>
      <c r="V18" s="27">
        <f t="shared" si="15"/>
        <v>1</v>
      </c>
      <c r="W18" s="27">
        <f t="shared" si="15"/>
        <v>1</v>
      </c>
      <c r="X18" s="27">
        <f t="shared" si="15"/>
        <v>0</v>
      </c>
      <c r="Y18" s="27">
        <f t="shared" si="15"/>
        <v>1</v>
      </c>
      <c r="Z18" s="27">
        <f t="shared" si="15"/>
        <v>0</v>
      </c>
      <c r="AA18" s="27">
        <f t="shared" si="15"/>
        <v>1</v>
      </c>
      <c r="AB18" s="27">
        <f t="shared" si="15"/>
        <v>1</v>
      </c>
      <c r="AC18" s="27">
        <f t="shared" si="15"/>
        <v>1</v>
      </c>
      <c r="AD18" s="27">
        <f t="shared" si="15"/>
        <v>1</v>
      </c>
      <c r="AE18" s="27">
        <f t="shared" si="15"/>
        <v>0</v>
      </c>
      <c r="AF18" s="27">
        <f t="shared" si="15"/>
        <v>0</v>
      </c>
      <c r="AG18" s="22"/>
      <c r="AH18" s="22"/>
      <c r="AI18" s="22"/>
      <c r="AJ18" s="22"/>
      <c r="AK18" s="22"/>
    </row>
    <row r="19">
      <c r="I19" s="28"/>
      <c r="J19" s="11"/>
      <c r="K19" s="86"/>
      <c r="L19" s="86"/>
      <c r="M19" s="86"/>
      <c r="N19" s="86"/>
      <c r="O19" s="11"/>
      <c r="P19" s="11"/>
      <c r="Q19" s="13"/>
      <c r="R19" s="11"/>
      <c r="S19" s="11"/>
      <c r="T19" s="11"/>
      <c r="U19" s="11"/>
      <c r="V19" s="11"/>
      <c r="W19" s="11"/>
      <c r="AG19" s="22"/>
      <c r="AH19" s="22"/>
      <c r="AI19" s="22"/>
      <c r="AJ19" s="22"/>
      <c r="AK19" s="22"/>
    </row>
    <row r="20">
      <c r="E20" s="29" t="s">
        <v>51</v>
      </c>
      <c r="F20" s="30"/>
      <c r="G20" s="30"/>
      <c r="H20" s="31"/>
      <c r="J20" s="13"/>
      <c r="K20" s="87"/>
      <c r="L20" s="87"/>
      <c r="M20" s="87"/>
      <c r="N20" s="87"/>
      <c r="O20" s="13"/>
      <c r="P20" s="13"/>
      <c r="Q20" s="13"/>
      <c r="R20" s="70"/>
      <c r="S20" s="70"/>
      <c r="T20" s="70"/>
      <c r="U20" s="70"/>
      <c r="V20" s="71"/>
      <c r="W20" s="71"/>
      <c r="X20" s="71"/>
      <c r="Y20" s="71"/>
      <c r="Z20" s="71"/>
      <c r="AA20" s="71"/>
      <c r="AB20" s="71"/>
      <c r="AG20" s="22"/>
      <c r="AH20" s="22"/>
      <c r="AI20" s="22"/>
      <c r="AJ20" s="22"/>
      <c r="AK20" s="22"/>
    </row>
    <row r="21">
      <c r="E21" s="33" t="s">
        <v>38</v>
      </c>
      <c r="F21" s="1" t="s">
        <v>52</v>
      </c>
      <c r="H21" s="34"/>
      <c r="K21" s="68"/>
      <c r="L21" s="68"/>
      <c r="M21" s="68"/>
      <c r="N21" s="68"/>
      <c r="O21" s="68"/>
      <c r="P21" s="68"/>
      <c r="R21" s="60"/>
      <c r="S21" s="60"/>
      <c r="T21" s="61"/>
      <c r="U21" s="61"/>
      <c r="V21" s="70"/>
      <c r="W21" s="70"/>
      <c r="X21" s="70" t="s">
        <v>122</v>
      </c>
      <c r="Y21" s="70"/>
      <c r="Z21" s="70"/>
      <c r="AA21" s="70"/>
      <c r="AB21" s="70"/>
      <c r="AG21" s="22"/>
      <c r="AH21" s="22"/>
      <c r="AI21" s="22"/>
      <c r="AJ21" s="22"/>
      <c r="AK21" s="22"/>
    </row>
    <row r="22">
      <c r="E22" s="33" t="s">
        <v>39</v>
      </c>
      <c r="F22" s="1" t="s">
        <v>53</v>
      </c>
      <c r="H22" s="34"/>
      <c r="J22" s="19"/>
      <c r="K22" s="71"/>
      <c r="L22" s="71"/>
      <c r="M22" s="71"/>
      <c r="N22" s="71"/>
      <c r="O22" s="70"/>
      <c r="P22" s="70"/>
      <c r="Q22" s="19"/>
      <c r="R22" s="70"/>
      <c r="S22" s="70"/>
      <c r="T22" s="70"/>
      <c r="U22" s="70"/>
      <c r="V22" s="60"/>
      <c r="W22" s="60"/>
      <c r="X22" s="60" t="s">
        <v>123</v>
      </c>
      <c r="Y22" s="60" t="s">
        <v>124</v>
      </c>
      <c r="Z22" s="60"/>
      <c r="AA22" s="61"/>
      <c r="AB22" s="61"/>
    </row>
    <row r="23">
      <c r="E23" s="33" t="s">
        <v>41</v>
      </c>
      <c r="F23" s="1" t="s">
        <v>54</v>
      </c>
      <c r="H23" s="34"/>
      <c r="J23" s="13"/>
      <c r="K23" s="70"/>
      <c r="L23" s="70"/>
      <c r="M23" s="70"/>
      <c r="N23" s="70"/>
      <c r="O23" s="60"/>
      <c r="P23" s="60"/>
      <c r="Q23" s="13"/>
      <c r="R23" s="69"/>
      <c r="S23" s="69"/>
      <c r="T23" s="69"/>
      <c r="U23" s="69"/>
      <c r="V23" s="70"/>
      <c r="W23" s="70"/>
      <c r="X23" s="88" t="s">
        <v>125</v>
      </c>
      <c r="Y23" s="88" t="s">
        <v>126</v>
      </c>
      <c r="Z23" s="70"/>
      <c r="AA23" s="70"/>
      <c r="AB23" s="70"/>
    </row>
    <row r="24">
      <c r="E24" s="33" t="s">
        <v>55</v>
      </c>
      <c r="F24" s="1" t="s">
        <v>56</v>
      </c>
      <c r="H24" s="34"/>
      <c r="I24" s="72"/>
      <c r="J24" s="13"/>
      <c r="K24" s="61"/>
      <c r="L24" s="61"/>
      <c r="M24" s="61"/>
      <c r="N24" s="68"/>
      <c r="O24" s="70"/>
      <c r="P24" s="70"/>
      <c r="Q24" s="13"/>
      <c r="T24" s="20"/>
      <c r="U24" s="20"/>
      <c r="V24" s="20"/>
      <c r="W24" s="20"/>
      <c r="X24" s="13"/>
    </row>
    <row r="25">
      <c r="E25" s="33" t="s">
        <v>40</v>
      </c>
      <c r="F25" s="1" t="s">
        <v>57</v>
      </c>
      <c r="H25" s="34"/>
      <c r="I25" s="20"/>
      <c r="J25" s="13"/>
      <c r="K25" s="70"/>
      <c r="L25" s="70"/>
      <c r="M25" s="70"/>
      <c r="N25" s="61"/>
      <c r="O25" s="69"/>
      <c r="P25" s="69"/>
      <c r="Q25" s="13"/>
      <c r="T25" s="20"/>
      <c r="U25" s="20"/>
      <c r="V25" s="20"/>
      <c r="W25" s="20"/>
      <c r="X25" s="89" t="s">
        <v>127</v>
      </c>
    </row>
    <row r="26">
      <c r="E26" s="33" t="s">
        <v>58</v>
      </c>
      <c r="F26" s="1" t="s">
        <v>59</v>
      </c>
      <c r="H26" s="34"/>
      <c r="I26" s="20"/>
      <c r="J26" s="55"/>
      <c r="K26" s="25"/>
      <c r="L26" s="25"/>
      <c r="M26" s="25"/>
      <c r="N26" s="25"/>
      <c r="O26" s="55"/>
      <c r="P26" s="55"/>
      <c r="Q26" s="13"/>
      <c r="T26" s="20"/>
      <c r="U26" s="20"/>
      <c r="V26" s="20"/>
      <c r="W26" s="20"/>
    </row>
    <row r="27">
      <c r="E27" s="33" t="s">
        <v>60</v>
      </c>
      <c r="F27" s="1" t="s">
        <v>61</v>
      </c>
      <c r="H27" s="34"/>
      <c r="K27" s="25"/>
      <c r="L27" s="25"/>
      <c r="M27" s="25"/>
      <c r="N27" s="25"/>
      <c r="O27" s="20"/>
      <c r="P27" s="20"/>
      <c r="Q27" s="20"/>
    </row>
    <row r="28">
      <c r="E28" s="33" t="s">
        <v>44</v>
      </c>
      <c r="F28" s="1" t="s">
        <v>62</v>
      </c>
      <c r="H28" s="34"/>
    </row>
    <row r="29">
      <c r="E29" s="33" t="s">
        <v>63</v>
      </c>
      <c r="F29" s="1" t="s">
        <v>64</v>
      </c>
      <c r="H29" s="34"/>
    </row>
    <row r="30">
      <c r="E30" s="33" t="s">
        <v>65</v>
      </c>
      <c r="F30" s="1" t="s">
        <v>66</v>
      </c>
      <c r="H30" s="34"/>
    </row>
    <row r="31">
      <c r="E31" s="33" t="s">
        <v>46</v>
      </c>
      <c r="F31" s="1" t="s">
        <v>67</v>
      </c>
      <c r="H31" s="34"/>
    </row>
    <row r="32">
      <c r="E32" s="35" t="s">
        <v>68</v>
      </c>
      <c r="F32" s="36" t="s">
        <v>69</v>
      </c>
      <c r="G32" s="8"/>
      <c r="H32" s="37"/>
    </row>
    <row r="33">
      <c r="A33" s="6"/>
      <c r="B33" s="11"/>
      <c r="C33" s="11"/>
      <c r="D33" s="11"/>
      <c r="E33" s="11"/>
      <c r="F33" s="11"/>
      <c r="G33" s="11"/>
      <c r="H33" s="11"/>
    </row>
    <row r="34">
      <c r="A34" s="13" t="s">
        <v>104</v>
      </c>
      <c r="B34" s="90"/>
      <c r="C34" s="69"/>
      <c r="D34" s="69"/>
      <c r="E34" s="69"/>
      <c r="F34" s="69"/>
      <c r="G34" s="69"/>
      <c r="H34" s="69" t="s">
        <v>38</v>
      </c>
      <c r="I34" s="69" t="s">
        <v>38</v>
      </c>
      <c r="J34" s="69" t="s">
        <v>38</v>
      </c>
      <c r="K34" s="69" t="s">
        <v>38</v>
      </c>
      <c r="L34" s="69" t="s">
        <v>38</v>
      </c>
      <c r="M34" s="69" t="s">
        <v>40</v>
      </c>
      <c r="N34" s="69" t="s">
        <v>40</v>
      </c>
      <c r="O34" s="69" t="s">
        <v>38</v>
      </c>
      <c r="P34" s="69" t="s">
        <v>38</v>
      </c>
      <c r="Q34" s="69" t="s">
        <v>38</v>
      </c>
      <c r="R34" s="69" t="s">
        <v>38</v>
      </c>
      <c r="S34" s="69" t="s">
        <v>38</v>
      </c>
      <c r="T34" s="69" t="s">
        <v>40</v>
      </c>
      <c r="U34" s="69" t="s">
        <v>40</v>
      </c>
      <c r="V34" s="69" t="s">
        <v>40</v>
      </c>
      <c r="W34" s="69" t="s">
        <v>39</v>
      </c>
      <c r="X34" s="69" t="s">
        <v>39</v>
      </c>
      <c r="Y34" s="69" t="s">
        <v>39</v>
      </c>
      <c r="Z34" s="69" t="s">
        <v>39</v>
      </c>
      <c r="AA34" s="69" t="s">
        <v>39</v>
      </c>
      <c r="AB34" s="69" t="s">
        <v>40</v>
      </c>
      <c r="AC34" s="69" t="s">
        <v>40</v>
      </c>
      <c r="AD34" s="69" t="s">
        <v>39</v>
      </c>
      <c r="AE34" s="69" t="s">
        <v>39</v>
      </c>
      <c r="AF34" s="69" t="s">
        <v>39</v>
      </c>
    </row>
    <row r="35">
      <c r="A35" s="13" t="s">
        <v>121</v>
      </c>
      <c r="B35" s="69"/>
      <c r="C35" s="69"/>
      <c r="D35" s="69"/>
      <c r="E35" s="69"/>
      <c r="F35" s="69"/>
      <c r="G35" s="69"/>
      <c r="H35" s="69"/>
      <c r="I35" s="69" t="s">
        <v>39</v>
      </c>
      <c r="J35" s="69" t="s">
        <v>39</v>
      </c>
      <c r="K35" s="69" t="s">
        <v>39</v>
      </c>
      <c r="L35" s="69" t="s">
        <v>39</v>
      </c>
      <c r="M35" s="69" t="s">
        <v>39</v>
      </c>
      <c r="N35" s="69" t="s">
        <v>40</v>
      </c>
      <c r="O35" s="69" t="s">
        <v>40</v>
      </c>
      <c r="P35" s="69" t="s">
        <v>39</v>
      </c>
      <c r="Q35" s="69" t="s">
        <v>39</v>
      </c>
      <c r="R35" s="69" t="s">
        <v>39</v>
      </c>
      <c r="S35" s="69" t="s">
        <v>39</v>
      </c>
      <c r="T35" s="69" t="s">
        <v>39</v>
      </c>
      <c r="U35" s="69" t="s">
        <v>40</v>
      </c>
      <c r="V35" s="69" t="s">
        <v>38</v>
      </c>
      <c r="W35" s="69" t="s">
        <v>38</v>
      </c>
      <c r="X35" s="69" t="s">
        <v>38</v>
      </c>
      <c r="Y35" s="69" t="s">
        <v>38</v>
      </c>
      <c r="Z35" s="69" t="s">
        <v>38</v>
      </c>
      <c r="AA35" s="69" t="s">
        <v>40</v>
      </c>
      <c r="AB35" s="69" t="s">
        <v>40</v>
      </c>
      <c r="AC35" s="69" t="s">
        <v>38</v>
      </c>
      <c r="AD35" s="69" t="s">
        <v>38</v>
      </c>
      <c r="AE35" s="69" t="s">
        <v>38</v>
      </c>
      <c r="AF35" s="69" t="s">
        <v>38</v>
      </c>
    </row>
    <row r="36">
      <c r="A36" s="13"/>
      <c r="B36" s="20"/>
      <c r="C36" s="20"/>
      <c r="D36" s="20"/>
      <c r="E36" s="20"/>
      <c r="F36" s="20"/>
      <c r="G36" s="20"/>
      <c r="H36" s="20"/>
    </row>
    <row r="37">
      <c r="A37" s="13"/>
      <c r="B37" s="20"/>
      <c r="C37" s="20"/>
      <c r="D37" s="20"/>
      <c r="E37" s="66"/>
      <c r="F37" s="66"/>
      <c r="G37" s="67"/>
      <c r="H37" s="67"/>
    </row>
    <row r="38">
      <c r="A38" s="13"/>
      <c r="B38" s="20"/>
      <c r="C38" s="20"/>
      <c r="D38" s="20"/>
      <c r="E38" s="20"/>
      <c r="F38" s="20"/>
      <c r="G38" s="20"/>
      <c r="H38" s="20"/>
    </row>
  </sheetData>
  <mergeCells count="16">
    <mergeCell ref="B1:AC3"/>
    <mergeCell ref="B14:AF14"/>
    <mergeCell ref="E20:H20"/>
    <mergeCell ref="F21:H21"/>
    <mergeCell ref="F22:H22"/>
    <mergeCell ref="F23:H23"/>
    <mergeCell ref="F24:H24"/>
    <mergeCell ref="F31:H31"/>
    <mergeCell ref="F32:H32"/>
    <mergeCell ref="F25:H25"/>
    <mergeCell ref="X25:AE27"/>
    <mergeCell ref="F26:H26"/>
    <mergeCell ref="F27:H27"/>
    <mergeCell ref="F28:H28"/>
    <mergeCell ref="F29:H29"/>
    <mergeCell ref="F30:H30"/>
  </mergeCells>
  <conditionalFormatting sqref="B7:E10 F7:AF11 T24:W24">
    <cfRule type="cellIs" dxfId="0" priority="1" operator="equal">
      <formula>"X"</formula>
    </cfRule>
  </conditionalFormatting>
  <conditionalFormatting sqref="B7:E10 F7:AF11 T24:W24">
    <cfRule type="cellIs" dxfId="1" priority="2" operator="equal">
      <formula>"D"</formula>
    </cfRule>
  </conditionalFormatting>
  <conditionalFormatting sqref="B7:E10 F7:AF11 T24:W24">
    <cfRule type="cellIs" dxfId="2" priority="3" operator="equal">
      <formula>"N"</formula>
    </cfRule>
  </conditionalFormatting>
  <conditionalFormatting sqref="B7:E10 F7:AF11 T24:W24">
    <cfRule type="cellIs" dxfId="3" priority="4" operator="equal">
      <formula>"OB"</formula>
    </cfRule>
  </conditionalFormatting>
  <conditionalFormatting sqref="B7:E10 F7:AF11 T24:W24">
    <cfRule type="cellIs" dxfId="0" priority="5" operator="equal">
      <formula>"C"</formula>
    </cfRule>
  </conditionalFormatting>
  <conditionalFormatting sqref="B7:E10 F7:AF11 T24:W24">
    <cfRule type="cellIs" dxfId="0" priority="6" operator="equal">
      <formula>"AL"</formula>
    </cfRule>
  </conditionalFormatting>
  <conditionalFormatting sqref="B7:E10 F7:AF11 T24:W24">
    <cfRule type="cellIs" dxfId="4" priority="7" operator="equal">
      <formula>"UP"</formula>
    </cfRule>
  </conditionalFormatting>
  <conditionalFormatting sqref="B7:E10 F7:AF11 T24:W24">
    <cfRule type="cellIs" dxfId="0" priority="8" operator="equal">
      <formula>"S"</formula>
    </cfRule>
  </conditionalFormatting>
  <conditionalFormatting sqref="B7:E10 F7:AF11 T24:W24">
    <cfRule type="cellIs" dxfId="5" priority="9" operator="equal">
      <formula>"OC"</formula>
    </cfRule>
  </conditionalFormatting>
  <conditionalFormatting sqref="B7:E10 F7:AF11 T24:W24">
    <cfRule type="cellIs" dxfId="6" priority="10" operator="equal">
      <formula>"SPV"</formula>
    </cfRule>
  </conditionalFormatting>
  <conditionalFormatting sqref="B7:E10 F7:AF11 T24:W24">
    <cfRule type="cellIs" dxfId="7" priority="11" operator="equal">
      <formula>"INT"</formula>
    </cfRule>
  </conditionalFormatting>
  <conditionalFormatting sqref="B7:E10 F7:AF11 T24:W24">
    <cfRule type="cellIs" dxfId="8" priority="12" operator="equal">
      <formula>"T"</formula>
    </cfRule>
  </conditionalFormatting>
  <conditionalFormatting sqref="B7:AF11 B15:AF16 E19:E32 R20:AB23 K22:P27 I24:I26 T25:W26 J26 Q27 B34:H38 I34:AF35 G40:J40">
    <cfRule type="cellIs" dxfId="0" priority="13" operator="equal">
      <formula>"X"</formula>
    </cfRule>
  </conditionalFormatting>
  <conditionalFormatting sqref="B7:AF11 B15:AF16 E19:E32 R20:AB23 K22:P27 I24:I26 T25:W26 J26 Q27 B34:H38 I34:AF35 G40:J40">
    <cfRule type="cellIs" dxfId="1" priority="14" operator="equal">
      <formula>"D"</formula>
    </cfRule>
  </conditionalFormatting>
  <conditionalFormatting sqref="B7:AF11 B15:AF16 E19:E32 R20:AB23 K22:P27 I24:I26 T25:W26 J26 Q27 B34:H38 I34:AF35 G40:J40">
    <cfRule type="cellIs" dxfId="2" priority="15" operator="equal">
      <formula>"N"</formula>
    </cfRule>
  </conditionalFormatting>
  <conditionalFormatting sqref="B7:AF11 B15:AF16 E19:E32 R20:AB23 K22:P27 I24:I26 T25:W26 J26 Q27 B34:H38 I34:AF35 G40:J40">
    <cfRule type="cellIs" dxfId="3" priority="16" operator="equal">
      <formula>"OB"</formula>
    </cfRule>
  </conditionalFormatting>
  <conditionalFormatting sqref="B7:AF11 B15:AF16 E19:E32 R20:AB23 K22:P27 I24:I26 T25:W26 J26 Q27 B34:H38 I34:AF35 G40:J40">
    <cfRule type="cellIs" dxfId="0" priority="17" operator="equal">
      <formula>"C"</formula>
    </cfRule>
  </conditionalFormatting>
  <conditionalFormatting sqref="B7:AF11 B15:AF16 E19:E32 R20:AB23 K22:P27 I24:I26 T25:W26 J26 Q27 B34:H38 I34:AF35 G40:J40">
    <cfRule type="cellIs" dxfId="0" priority="18" operator="equal">
      <formula>"AL"</formula>
    </cfRule>
  </conditionalFormatting>
  <conditionalFormatting sqref="B7:AF11 B15:AF16 E19:E32 R20:AB23 K22:P27 I24:I26 T25:W26 J26 Q27 B34:H38 I34:AF35 G40:J40">
    <cfRule type="cellIs" dxfId="4" priority="19" operator="equal">
      <formula>"UP"</formula>
    </cfRule>
  </conditionalFormatting>
  <conditionalFormatting sqref="B7:AF11 B15:AF16 E19:E32 R20:AB23 K22:P27 I24:I26 T25:W26 J26 Q27 B34:H38 I34:AF35 G40:J40">
    <cfRule type="cellIs" dxfId="0" priority="20" operator="equal">
      <formula>"S"</formula>
    </cfRule>
  </conditionalFormatting>
  <conditionalFormatting sqref="B7:AF11 B15:AF16 E19:E32 R20:AB23 K22:P27 I24:I26 T25:W26 J26 Q27 B34:H38 I34:AF35 G40:J40">
    <cfRule type="cellIs" dxfId="5" priority="21" operator="equal">
      <formula>"OC"</formula>
    </cfRule>
  </conditionalFormatting>
  <conditionalFormatting sqref="B7:AF11 B15:AF16 E19:E32 R20:AB23 K22:P27 I24:I26 T25:W26 J26 Q27 B34:H38 I34:AF35 G40:J40">
    <cfRule type="cellIs" dxfId="6" priority="22" operator="equal">
      <formula>"SPV"</formula>
    </cfRule>
  </conditionalFormatting>
  <conditionalFormatting sqref="B7:AF11 B15:AF16 E19:E32 R20:AB23 K22:P27 I24:I26 T25:W26 J26 Q27 B34:H38 I34:AF35 G40:J40">
    <cfRule type="cellIs" dxfId="7" priority="23" operator="equal">
      <formula>"INT"</formula>
    </cfRule>
  </conditionalFormatting>
  <conditionalFormatting sqref="B7:AF11 B15:AF16 R20:AB23 K22:P26 T25:W26 J26 B34:AF35">
    <cfRule type="cellIs" dxfId="8" priority="24" operator="equal">
      <formula>"T"</formula>
    </cfRule>
  </conditionalFormatting>
  <conditionalFormatting sqref="E31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2" width="4.63"/>
    <col customWidth="1" min="3" max="34" width="4.5"/>
    <col customWidth="1" min="35" max="35" width="4.75"/>
    <col customWidth="1" min="36" max="36" width="6.88"/>
    <col customWidth="1" min="37" max="37" width="14.13"/>
  </cols>
  <sheetData>
    <row r="1">
      <c r="A1" s="1" t="s">
        <v>0</v>
      </c>
      <c r="B1" s="2" t="s">
        <v>129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2</v>
      </c>
      <c r="J4" s="10" t="s">
        <v>3</v>
      </c>
      <c r="K4" s="10" t="s">
        <v>4</v>
      </c>
      <c r="L4" s="10" t="s">
        <v>5</v>
      </c>
      <c r="M4" s="10" t="s">
        <v>6</v>
      </c>
      <c r="N4" s="10" t="s">
        <v>7</v>
      </c>
      <c r="O4" s="10" t="s">
        <v>8</v>
      </c>
      <c r="P4" s="10" t="s">
        <v>2</v>
      </c>
      <c r="Q4" s="10" t="s">
        <v>3</v>
      </c>
      <c r="R4" s="10" t="s">
        <v>4</v>
      </c>
      <c r="S4" s="10" t="s">
        <v>5</v>
      </c>
      <c r="T4" s="10" t="s">
        <v>6</v>
      </c>
      <c r="U4" s="10" t="s">
        <v>7</v>
      </c>
      <c r="V4" s="10" t="s">
        <v>8</v>
      </c>
      <c r="W4" s="10" t="s">
        <v>2</v>
      </c>
      <c r="X4" s="10" t="s">
        <v>3</v>
      </c>
      <c r="Y4" s="10" t="s">
        <v>4</v>
      </c>
      <c r="Z4" s="10" t="s">
        <v>5</v>
      </c>
      <c r="AA4" s="10" t="s">
        <v>6</v>
      </c>
      <c r="AB4" s="10" t="s">
        <v>7</v>
      </c>
      <c r="AC4" s="10" t="s">
        <v>8</v>
      </c>
      <c r="AD4" s="10" t="s">
        <v>2</v>
      </c>
      <c r="AE4" s="10" t="s">
        <v>3</v>
      </c>
      <c r="AF4" s="10"/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/>
      <c r="AG5" s="13"/>
      <c r="AH5" s="13"/>
      <c r="AI5" s="13"/>
      <c r="AJ5" s="13"/>
      <c r="AK5" s="13"/>
    </row>
    <row r="6">
      <c r="A6" s="39" t="s">
        <v>130</v>
      </c>
      <c r="B6" s="71"/>
      <c r="C6" s="71"/>
      <c r="D6" s="71"/>
      <c r="E6" s="71"/>
      <c r="F6" s="71"/>
      <c r="G6" s="71"/>
      <c r="H6" s="71"/>
      <c r="I6" s="71"/>
      <c r="J6" s="71" t="s">
        <v>38</v>
      </c>
      <c r="K6" s="71"/>
      <c r="L6" s="71"/>
      <c r="M6" s="71"/>
      <c r="N6" s="71"/>
      <c r="O6" s="71"/>
      <c r="P6" s="71"/>
      <c r="Q6" s="71" t="s">
        <v>38</v>
      </c>
      <c r="R6" s="71"/>
      <c r="S6" s="71"/>
      <c r="T6" s="71"/>
      <c r="U6" s="71" t="s">
        <v>38</v>
      </c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40</v>
      </c>
      <c r="C7" s="69" t="s">
        <v>39</v>
      </c>
      <c r="D7" s="69" t="s">
        <v>39</v>
      </c>
      <c r="E7" s="69" t="s">
        <v>40</v>
      </c>
      <c r="F7" s="69" t="s">
        <v>40</v>
      </c>
      <c r="G7" s="69" t="s">
        <v>60</v>
      </c>
      <c r="H7" s="69" t="s">
        <v>39</v>
      </c>
      <c r="I7" s="60" t="s">
        <v>40</v>
      </c>
      <c r="J7" s="60" t="s">
        <v>40</v>
      </c>
      <c r="K7" s="60" t="s">
        <v>39</v>
      </c>
      <c r="L7" s="60" t="s">
        <v>39</v>
      </c>
      <c r="M7" s="61" t="s">
        <v>40</v>
      </c>
      <c r="N7" s="61" t="s">
        <v>40</v>
      </c>
      <c r="O7" s="61" t="s">
        <v>39</v>
      </c>
      <c r="P7" s="70" t="s">
        <v>39</v>
      </c>
      <c r="Q7" s="70" t="s">
        <v>40</v>
      </c>
      <c r="R7" s="70" t="s">
        <v>40</v>
      </c>
      <c r="S7" s="70" t="s">
        <v>39</v>
      </c>
      <c r="T7" s="70" t="s">
        <v>39</v>
      </c>
      <c r="U7" s="70" t="s">
        <v>40</v>
      </c>
      <c r="V7" s="70" t="s">
        <v>38</v>
      </c>
      <c r="W7" s="71" t="s">
        <v>38</v>
      </c>
      <c r="X7" s="71" t="s">
        <v>38</v>
      </c>
      <c r="Y7" s="71" t="s">
        <v>40</v>
      </c>
      <c r="Z7" s="71" t="s">
        <v>40</v>
      </c>
      <c r="AA7" s="71" t="s">
        <v>38</v>
      </c>
      <c r="AB7" s="71" t="s">
        <v>38</v>
      </c>
      <c r="AC7" s="71" t="s">
        <v>40</v>
      </c>
      <c r="AD7" s="71" t="s">
        <v>40</v>
      </c>
      <c r="AE7" s="71" t="s">
        <v>38</v>
      </c>
      <c r="AF7" s="71"/>
      <c r="AG7" s="49">
        <f t="shared" ref="AG7:AG10" si="1">COUNTIF(B7:AF7,"D")</f>
        <v>6</v>
      </c>
      <c r="AH7" s="49">
        <f t="shared" ref="AH7:AH10" si="2">COUNTIF(B7:AF7,"N")</f>
        <v>9</v>
      </c>
      <c r="AI7" s="49">
        <f t="shared" ref="AI7:AI10" si="3">COUNTIF(B7:AF7,"X")</f>
        <v>14</v>
      </c>
      <c r="AJ7" s="49">
        <f t="shared" ref="AJ7:AJ10" si="4">AG7+AH7</f>
        <v>15</v>
      </c>
      <c r="AK7" s="84">
        <f t="shared" ref="AK7:AK10" si="5">(AJ7*12)/4.2</f>
        <v>42.85714286</v>
      </c>
    </row>
    <row r="8">
      <c r="A8" s="13" t="s">
        <v>84</v>
      </c>
      <c r="B8" s="69" t="s">
        <v>40</v>
      </c>
      <c r="C8" s="69" t="s">
        <v>38</v>
      </c>
      <c r="D8" s="69" t="s">
        <v>38</v>
      </c>
      <c r="E8" s="69" t="s">
        <v>40</v>
      </c>
      <c r="F8" s="69" t="s">
        <v>40</v>
      </c>
      <c r="G8" s="69" t="s">
        <v>38</v>
      </c>
      <c r="H8" s="69" t="s">
        <v>38</v>
      </c>
      <c r="I8" s="69" t="s">
        <v>40</v>
      </c>
      <c r="J8" s="69" t="s">
        <v>40</v>
      </c>
      <c r="K8" s="69" t="s">
        <v>38</v>
      </c>
      <c r="L8" s="69" t="s">
        <v>38</v>
      </c>
      <c r="M8" s="69" t="s">
        <v>40</v>
      </c>
      <c r="N8" s="69" t="s">
        <v>40</v>
      </c>
      <c r="O8" s="69" t="s">
        <v>38</v>
      </c>
      <c r="P8" s="60" t="s">
        <v>38</v>
      </c>
      <c r="Q8" s="60" t="s">
        <v>40</v>
      </c>
      <c r="R8" s="60" t="s">
        <v>38</v>
      </c>
      <c r="S8" s="60" t="s">
        <v>38</v>
      </c>
      <c r="T8" s="60" t="s">
        <v>38</v>
      </c>
      <c r="U8" s="61" t="s">
        <v>40</v>
      </c>
      <c r="V8" s="61" t="s">
        <v>40</v>
      </c>
      <c r="W8" s="70" t="s">
        <v>40</v>
      </c>
      <c r="X8" s="70" t="s">
        <v>39</v>
      </c>
      <c r="Y8" s="70" t="s">
        <v>40</v>
      </c>
      <c r="Z8" s="70" t="s">
        <v>40</v>
      </c>
      <c r="AA8" s="70" t="s">
        <v>39</v>
      </c>
      <c r="AB8" s="70" t="s">
        <v>39</v>
      </c>
      <c r="AC8" s="70" t="s">
        <v>40</v>
      </c>
      <c r="AD8" s="70" t="s">
        <v>40</v>
      </c>
      <c r="AE8" s="70" t="s">
        <v>39</v>
      </c>
      <c r="AF8" s="70"/>
      <c r="AG8" s="49">
        <f t="shared" si="1"/>
        <v>11</v>
      </c>
      <c r="AH8" s="49">
        <f t="shared" si="2"/>
        <v>4</v>
      </c>
      <c r="AI8" s="49">
        <f t="shared" si="3"/>
        <v>15</v>
      </c>
      <c r="AJ8" s="49">
        <f t="shared" si="4"/>
        <v>15</v>
      </c>
      <c r="AK8" s="84">
        <f t="shared" si="5"/>
        <v>42.85714286</v>
      </c>
    </row>
    <row r="9">
      <c r="A9" s="13" t="s">
        <v>73</v>
      </c>
      <c r="B9" s="60" t="s">
        <v>39</v>
      </c>
      <c r="C9" s="60" t="s">
        <v>40</v>
      </c>
      <c r="D9" s="60" t="s">
        <v>60</v>
      </c>
      <c r="E9" s="60" t="s">
        <v>39</v>
      </c>
      <c r="F9" s="60" t="s">
        <v>39</v>
      </c>
      <c r="G9" s="61" t="s">
        <v>39</v>
      </c>
      <c r="H9" s="61" t="s">
        <v>40</v>
      </c>
      <c r="I9" s="70" t="s">
        <v>38</v>
      </c>
      <c r="J9" s="70" t="s">
        <v>65</v>
      </c>
      <c r="K9" s="70" t="s">
        <v>40</v>
      </c>
      <c r="L9" s="70" t="s">
        <v>40</v>
      </c>
      <c r="M9" s="70" t="s">
        <v>38</v>
      </c>
      <c r="N9" s="70" t="s">
        <v>38</v>
      </c>
      <c r="O9" s="70" t="s">
        <v>40</v>
      </c>
      <c r="P9" s="70" t="s">
        <v>44</v>
      </c>
      <c r="Q9" s="70" t="s">
        <v>44</v>
      </c>
      <c r="R9" s="70" t="s">
        <v>44</v>
      </c>
      <c r="S9" s="70" t="s">
        <v>44</v>
      </c>
      <c r="T9" s="70" t="s">
        <v>44</v>
      </c>
      <c r="U9" s="70" t="s">
        <v>40</v>
      </c>
      <c r="V9" s="70" t="s">
        <v>40</v>
      </c>
      <c r="W9" s="60" t="s">
        <v>39</v>
      </c>
      <c r="X9" s="60" t="s">
        <v>40</v>
      </c>
      <c r="Y9" s="60" t="s">
        <v>39</v>
      </c>
      <c r="Z9" s="60" t="s">
        <v>39</v>
      </c>
      <c r="AA9" s="60" t="s">
        <v>40</v>
      </c>
      <c r="AB9" s="61" t="s">
        <v>40</v>
      </c>
      <c r="AC9" s="61" t="s">
        <v>39</v>
      </c>
      <c r="AD9" s="61" t="s">
        <v>39</v>
      </c>
      <c r="AE9" s="61" t="s">
        <v>40</v>
      </c>
      <c r="AF9" s="61"/>
      <c r="AG9" s="49">
        <f t="shared" si="1"/>
        <v>3</v>
      </c>
      <c r="AH9" s="49">
        <f t="shared" si="2"/>
        <v>9</v>
      </c>
      <c r="AI9" s="49">
        <f t="shared" si="3"/>
        <v>11</v>
      </c>
      <c r="AJ9" s="49">
        <f t="shared" si="4"/>
        <v>12</v>
      </c>
      <c r="AK9" s="84">
        <f t="shared" si="5"/>
        <v>34.28571429</v>
      </c>
    </row>
    <row r="10">
      <c r="A10" s="13" t="s">
        <v>48</v>
      </c>
      <c r="B10" s="69" t="s">
        <v>38</v>
      </c>
      <c r="C10" s="69" t="s">
        <v>40</v>
      </c>
      <c r="D10" s="69" t="s">
        <v>40</v>
      </c>
      <c r="E10" s="69" t="s">
        <v>38</v>
      </c>
      <c r="F10" s="69" t="s">
        <v>38</v>
      </c>
      <c r="G10" s="69" t="s">
        <v>40</v>
      </c>
      <c r="H10" s="69" t="s">
        <v>40</v>
      </c>
      <c r="I10" s="69" t="s">
        <v>39</v>
      </c>
      <c r="J10" s="69" t="s">
        <v>39</v>
      </c>
      <c r="K10" s="69" t="s">
        <v>40</v>
      </c>
      <c r="L10" s="69" t="s">
        <v>40</v>
      </c>
      <c r="M10" s="69" t="s">
        <v>39</v>
      </c>
      <c r="N10" s="69" t="s">
        <v>39</v>
      </c>
      <c r="O10" s="69" t="s">
        <v>40</v>
      </c>
      <c r="P10" s="69" t="s">
        <v>40</v>
      </c>
      <c r="Q10" s="69" t="s">
        <v>39</v>
      </c>
      <c r="R10" s="69" t="s">
        <v>39</v>
      </c>
      <c r="S10" s="69" t="s">
        <v>40</v>
      </c>
      <c r="T10" s="69" t="s">
        <v>40</v>
      </c>
      <c r="U10" s="69" t="s">
        <v>39</v>
      </c>
      <c r="V10" s="69" t="s">
        <v>39</v>
      </c>
      <c r="W10" s="70" t="s">
        <v>40</v>
      </c>
      <c r="X10" s="70" t="s">
        <v>40</v>
      </c>
      <c r="Y10" s="70" t="s">
        <v>38</v>
      </c>
      <c r="Z10" s="70" t="s">
        <v>38</v>
      </c>
      <c r="AA10" s="70" t="s">
        <v>40</v>
      </c>
      <c r="AB10" s="70" t="s">
        <v>40</v>
      </c>
      <c r="AC10" s="70" t="s">
        <v>38</v>
      </c>
      <c r="AD10" s="70" t="s">
        <v>38</v>
      </c>
      <c r="AE10" s="70" t="s">
        <v>40</v>
      </c>
      <c r="AF10" s="70"/>
      <c r="AG10" s="49">
        <f t="shared" si="1"/>
        <v>7</v>
      </c>
      <c r="AH10" s="49">
        <f t="shared" si="2"/>
        <v>8</v>
      </c>
      <c r="AI10" s="49">
        <f t="shared" si="3"/>
        <v>15</v>
      </c>
      <c r="AJ10" s="49">
        <f t="shared" si="4"/>
        <v>15</v>
      </c>
      <c r="AK10" s="84">
        <f t="shared" si="5"/>
        <v>42.85714286</v>
      </c>
    </row>
    <row r="11">
      <c r="A11" s="23" t="s">
        <v>49</v>
      </c>
      <c r="B11" s="24">
        <f t="shared" ref="B11:AF11" si="6">COUNTIF(B6:B10,"D")</f>
        <v>1</v>
      </c>
      <c r="C11" s="24">
        <f t="shared" si="6"/>
        <v>1</v>
      </c>
      <c r="D11" s="24">
        <f t="shared" si="6"/>
        <v>1</v>
      </c>
      <c r="E11" s="24">
        <f t="shared" si="6"/>
        <v>1</v>
      </c>
      <c r="F11" s="24">
        <f t="shared" si="6"/>
        <v>1</v>
      </c>
      <c r="G11" s="24">
        <f t="shared" si="6"/>
        <v>1</v>
      </c>
      <c r="H11" s="24">
        <f t="shared" si="6"/>
        <v>1</v>
      </c>
      <c r="I11" s="24">
        <f t="shared" si="6"/>
        <v>1</v>
      </c>
      <c r="J11" s="24">
        <f t="shared" si="6"/>
        <v>1</v>
      </c>
      <c r="K11" s="24">
        <f t="shared" si="6"/>
        <v>1</v>
      </c>
      <c r="L11" s="24">
        <f t="shared" si="6"/>
        <v>1</v>
      </c>
      <c r="M11" s="24">
        <f t="shared" si="6"/>
        <v>1</v>
      </c>
      <c r="N11" s="24">
        <f t="shared" si="6"/>
        <v>1</v>
      </c>
      <c r="O11" s="24">
        <f t="shared" si="6"/>
        <v>1</v>
      </c>
      <c r="P11" s="24">
        <f t="shared" si="6"/>
        <v>1</v>
      </c>
      <c r="Q11" s="24">
        <f t="shared" si="6"/>
        <v>1</v>
      </c>
      <c r="R11" s="24">
        <f t="shared" si="6"/>
        <v>1</v>
      </c>
      <c r="S11" s="24">
        <f t="shared" si="6"/>
        <v>1</v>
      </c>
      <c r="T11" s="24">
        <f t="shared" si="6"/>
        <v>1</v>
      </c>
      <c r="U11" s="24">
        <f t="shared" si="6"/>
        <v>1</v>
      </c>
      <c r="V11" s="24">
        <f t="shared" si="6"/>
        <v>1</v>
      </c>
      <c r="W11" s="24">
        <f t="shared" si="6"/>
        <v>1</v>
      </c>
      <c r="X11" s="24">
        <f t="shared" si="6"/>
        <v>1</v>
      </c>
      <c r="Y11" s="24">
        <f t="shared" si="6"/>
        <v>1</v>
      </c>
      <c r="Z11" s="24">
        <f t="shared" si="6"/>
        <v>1</v>
      </c>
      <c r="AA11" s="24">
        <f t="shared" si="6"/>
        <v>1</v>
      </c>
      <c r="AB11" s="24">
        <f t="shared" si="6"/>
        <v>1</v>
      </c>
      <c r="AC11" s="24">
        <f t="shared" si="6"/>
        <v>1</v>
      </c>
      <c r="AD11" s="24">
        <f t="shared" si="6"/>
        <v>1</v>
      </c>
      <c r="AE11" s="24">
        <f t="shared" si="6"/>
        <v>1</v>
      </c>
      <c r="AF11" s="24">
        <f t="shared" si="6"/>
        <v>0</v>
      </c>
      <c r="AJ11" s="49"/>
    </row>
    <row r="12">
      <c r="A12" s="26" t="s">
        <v>50</v>
      </c>
      <c r="B12" s="27">
        <f t="shared" ref="B12:AF12" si="7">COUNTIF(B6:B10,"N")</f>
        <v>1</v>
      </c>
      <c r="C12" s="27">
        <f t="shared" si="7"/>
        <v>1</v>
      </c>
      <c r="D12" s="27">
        <f t="shared" si="7"/>
        <v>1</v>
      </c>
      <c r="E12" s="27">
        <f t="shared" si="7"/>
        <v>1</v>
      </c>
      <c r="F12" s="27">
        <f t="shared" si="7"/>
        <v>1</v>
      </c>
      <c r="G12" s="27">
        <f t="shared" si="7"/>
        <v>1</v>
      </c>
      <c r="H12" s="27">
        <f t="shared" si="7"/>
        <v>1</v>
      </c>
      <c r="I12" s="27">
        <f t="shared" si="7"/>
        <v>1</v>
      </c>
      <c r="J12" s="27">
        <f t="shared" si="7"/>
        <v>1</v>
      </c>
      <c r="K12" s="27">
        <f t="shared" si="7"/>
        <v>1</v>
      </c>
      <c r="L12" s="27">
        <f t="shared" si="7"/>
        <v>1</v>
      </c>
      <c r="M12" s="27">
        <f t="shared" si="7"/>
        <v>1</v>
      </c>
      <c r="N12" s="27">
        <f t="shared" si="7"/>
        <v>1</v>
      </c>
      <c r="O12" s="27">
        <f t="shared" si="7"/>
        <v>1</v>
      </c>
      <c r="P12" s="27">
        <f t="shared" si="7"/>
        <v>1</v>
      </c>
      <c r="Q12" s="27">
        <f t="shared" si="7"/>
        <v>1</v>
      </c>
      <c r="R12" s="27">
        <f t="shared" si="7"/>
        <v>1</v>
      </c>
      <c r="S12" s="27">
        <f t="shared" si="7"/>
        <v>1</v>
      </c>
      <c r="T12" s="27">
        <f t="shared" si="7"/>
        <v>1</v>
      </c>
      <c r="U12" s="27">
        <f t="shared" si="7"/>
        <v>1</v>
      </c>
      <c r="V12" s="27">
        <f t="shared" si="7"/>
        <v>1</v>
      </c>
      <c r="W12" s="27">
        <f t="shared" si="7"/>
        <v>1</v>
      </c>
      <c r="X12" s="27">
        <f t="shared" si="7"/>
        <v>1</v>
      </c>
      <c r="Y12" s="27">
        <f t="shared" si="7"/>
        <v>1</v>
      </c>
      <c r="Z12" s="27">
        <f t="shared" si="7"/>
        <v>1</v>
      </c>
      <c r="AA12" s="27">
        <f t="shared" si="7"/>
        <v>1</v>
      </c>
      <c r="AB12" s="27">
        <f t="shared" si="7"/>
        <v>1</v>
      </c>
      <c r="AC12" s="27">
        <f t="shared" si="7"/>
        <v>1</v>
      </c>
      <c r="AD12" s="27">
        <f t="shared" si="7"/>
        <v>1</v>
      </c>
      <c r="AE12" s="27">
        <f t="shared" si="7"/>
        <v>1</v>
      </c>
      <c r="AF12" s="27">
        <f t="shared" si="7"/>
        <v>0</v>
      </c>
    </row>
    <row r="13">
      <c r="B13" s="85" t="s">
        <v>120</v>
      </c>
      <c r="AG13" s="44" t="s">
        <v>38</v>
      </c>
      <c r="AH13" s="45" t="s">
        <v>39</v>
      </c>
      <c r="AI13" s="46" t="s">
        <v>40</v>
      </c>
      <c r="AJ13" s="48" t="s">
        <v>42</v>
      </c>
      <c r="AK13" s="54" t="s">
        <v>76</v>
      </c>
    </row>
    <row r="14">
      <c r="A14" s="13" t="s">
        <v>104</v>
      </c>
      <c r="B14" s="69" t="s">
        <v>39</v>
      </c>
      <c r="C14" s="69" t="s">
        <v>39</v>
      </c>
      <c r="D14" s="69" t="s">
        <v>39</v>
      </c>
      <c r="E14" s="69" t="s">
        <v>39</v>
      </c>
      <c r="F14" s="69" t="s">
        <v>40</v>
      </c>
      <c r="G14" s="69" t="s">
        <v>40</v>
      </c>
      <c r="H14" s="69" t="s">
        <v>40</v>
      </c>
      <c r="I14" s="69" t="s">
        <v>39</v>
      </c>
      <c r="J14" s="69" t="s">
        <v>39</v>
      </c>
      <c r="K14" s="69" t="s">
        <v>39</v>
      </c>
      <c r="L14" s="69" t="s">
        <v>39</v>
      </c>
      <c r="M14" s="69" t="s">
        <v>39</v>
      </c>
      <c r="N14" s="69" t="s">
        <v>39</v>
      </c>
      <c r="O14" s="69" t="s">
        <v>40</v>
      </c>
      <c r="P14" s="69" t="s">
        <v>38</v>
      </c>
      <c r="Q14" s="69" t="s">
        <v>38</v>
      </c>
      <c r="R14" s="69" t="s">
        <v>38</v>
      </c>
      <c r="S14" s="69" t="s">
        <v>38</v>
      </c>
      <c r="T14" s="69" t="s">
        <v>38</v>
      </c>
      <c r="U14" s="69" t="s">
        <v>40</v>
      </c>
      <c r="V14" s="69" t="s">
        <v>40</v>
      </c>
      <c r="W14" s="69" t="s">
        <v>38</v>
      </c>
      <c r="X14" s="69" t="s">
        <v>38</v>
      </c>
      <c r="Y14" s="69" t="s">
        <v>38</v>
      </c>
      <c r="Z14" s="69" t="s">
        <v>38</v>
      </c>
      <c r="AA14" s="69" t="s">
        <v>38</v>
      </c>
      <c r="AB14" s="69" t="s">
        <v>40</v>
      </c>
      <c r="AC14" s="69" t="s">
        <v>40</v>
      </c>
      <c r="AD14" s="69" t="s">
        <v>39</v>
      </c>
      <c r="AE14" s="69" t="s">
        <v>65</v>
      </c>
      <c r="AF14" s="69"/>
      <c r="AG14" s="49">
        <f t="shared" ref="AG14:AG15" si="8">COUNTIF(B14:AF14,"D")</f>
        <v>10</v>
      </c>
      <c r="AH14" s="49">
        <f t="shared" ref="AH14:AH15" si="9">COUNTIF(B14:AF14,"N")</f>
        <v>11</v>
      </c>
      <c r="AI14" s="49">
        <f t="shared" ref="AI14:AI15" si="10">COUNTIF(B14:AF14,"X")</f>
        <v>8</v>
      </c>
      <c r="AJ14" s="49">
        <f t="shared" ref="AJ14:AJ15" si="11">AG14+AH14</f>
        <v>21</v>
      </c>
      <c r="AK14" s="84">
        <f t="shared" ref="AK14:AK15" si="12">(AJ14*10)/4</f>
        <v>52.5</v>
      </c>
    </row>
    <row r="15">
      <c r="A15" s="13" t="s">
        <v>121</v>
      </c>
      <c r="B15" s="69" t="s">
        <v>38</v>
      </c>
      <c r="C15" s="69" t="s">
        <v>38</v>
      </c>
      <c r="D15" s="69" t="s">
        <v>38</v>
      </c>
      <c r="E15" s="69" t="s">
        <v>38</v>
      </c>
      <c r="F15" s="69" t="s">
        <v>38</v>
      </c>
      <c r="G15" s="69" t="s">
        <v>40</v>
      </c>
      <c r="H15" s="69" t="s">
        <v>40</v>
      </c>
      <c r="I15" s="69" t="s">
        <v>38</v>
      </c>
      <c r="J15" s="69" t="s">
        <v>38</v>
      </c>
      <c r="K15" s="69" t="s">
        <v>38</v>
      </c>
      <c r="L15" s="69" t="s">
        <v>38</v>
      </c>
      <c r="M15" s="69" t="s">
        <v>38</v>
      </c>
      <c r="N15" s="69" t="s">
        <v>40</v>
      </c>
      <c r="O15" s="69" t="s">
        <v>40</v>
      </c>
      <c r="P15" s="69" t="s">
        <v>39</v>
      </c>
      <c r="Q15" s="69" t="s">
        <v>39</v>
      </c>
      <c r="R15" s="69" t="s">
        <v>39</v>
      </c>
      <c r="S15" s="69" t="s">
        <v>39</v>
      </c>
      <c r="T15" s="69" t="s">
        <v>39</v>
      </c>
      <c r="U15" s="69" t="s">
        <v>40</v>
      </c>
      <c r="V15" s="69" t="s">
        <v>40</v>
      </c>
      <c r="W15" s="69" t="s">
        <v>39</v>
      </c>
      <c r="X15" s="69" t="s">
        <v>46</v>
      </c>
      <c r="Y15" s="69" t="s">
        <v>44</v>
      </c>
      <c r="Z15" s="69" t="s">
        <v>44</v>
      </c>
      <c r="AA15" s="69" t="s">
        <v>44</v>
      </c>
      <c r="AB15" s="69" t="s">
        <v>40</v>
      </c>
      <c r="AC15" s="69" t="s">
        <v>40</v>
      </c>
      <c r="AD15" s="69" t="s">
        <v>38</v>
      </c>
      <c r="AE15" s="69" t="s">
        <v>38</v>
      </c>
      <c r="AF15" s="69"/>
      <c r="AG15" s="49">
        <f t="shared" si="8"/>
        <v>12</v>
      </c>
      <c r="AH15" s="49">
        <f t="shared" si="9"/>
        <v>6</v>
      </c>
      <c r="AI15" s="49">
        <f t="shared" si="10"/>
        <v>8</v>
      </c>
      <c r="AJ15" s="49">
        <f t="shared" si="11"/>
        <v>18</v>
      </c>
      <c r="AK15" s="84">
        <f t="shared" si="12"/>
        <v>45</v>
      </c>
    </row>
    <row r="16">
      <c r="A16" s="23" t="s">
        <v>49</v>
      </c>
      <c r="B16" s="24">
        <f t="shared" ref="B16:AF16" si="13">COUNTIF(B14:B15,"D")</f>
        <v>1</v>
      </c>
      <c r="C16" s="24">
        <f t="shared" si="13"/>
        <v>1</v>
      </c>
      <c r="D16" s="24">
        <f t="shared" si="13"/>
        <v>1</v>
      </c>
      <c r="E16" s="24">
        <f t="shared" si="13"/>
        <v>1</v>
      </c>
      <c r="F16" s="24">
        <f t="shared" si="13"/>
        <v>1</v>
      </c>
      <c r="G16" s="24">
        <f t="shared" si="13"/>
        <v>0</v>
      </c>
      <c r="H16" s="24">
        <f t="shared" si="13"/>
        <v>0</v>
      </c>
      <c r="I16" s="24">
        <f t="shared" si="13"/>
        <v>1</v>
      </c>
      <c r="J16" s="24">
        <f t="shared" si="13"/>
        <v>1</v>
      </c>
      <c r="K16" s="24">
        <f t="shared" si="13"/>
        <v>1</v>
      </c>
      <c r="L16" s="24">
        <f t="shared" si="13"/>
        <v>1</v>
      </c>
      <c r="M16" s="24">
        <f t="shared" si="13"/>
        <v>1</v>
      </c>
      <c r="N16" s="24">
        <f t="shared" si="13"/>
        <v>0</v>
      </c>
      <c r="O16" s="24">
        <f t="shared" si="13"/>
        <v>0</v>
      </c>
      <c r="P16" s="24">
        <f t="shared" si="13"/>
        <v>1</v>
      </c>
      <c r="Q16" s="24">
        <f t="shared" si="13"/>
        <v>1</v>
      </c>
      <c r="R16" s="24">
        <f t="shared" si="13"/>
        <v>1</v>
      </c>
      <c r="S16" s="24">
        <f t="shared" si="13"/>
        <v>1</v>
      </c>
      <c r="T16" s="24">
        <f t="shared" si="13"/>
        <v>1</v>
      </c>
      <c r="U16" s="24">
        <f t="shared" si="13"/>
        <v>0</v>
      </c>
      <c r="V16" s="24">
        <f t="shared" si="13"/>
        <v>0</v>
      </c>
      <c r="W16" s="24">
        <f t="shared" si="13"/>
        <v>1</v>
      </c>
      <c r="X16" s="24">
        <f t="shared" si="13"/>
        <v>1</v>
      </c>
      <c r="Y16" s="24">
        <f t="shared" si="13"/>
        <v>1</v>
      </c>
      <c r="Z16" s="24">
        <f t="shared" si="13"/>
        <v>1</v>
      </c>
      <c r="AA16" s="24">
        <f t="shared" si="13"/>
        <v>1</v>
      </c>
      <c r="AB16" s="24">
        <f t="shared" si="13"/>
        <v>0</v>
      </c>
      <c r="AC16" s="24">
        <f t="shared" si="13"/>
        <v>0</v>
      </c>
      <c r="AD16" s="24">
        <f t="shared" si="13"/>
        <v>1</v>
      </c>
      <c r="AE16" s="24">
        <f t="shared" si="13"/>
        <v>1</v>
      </c>
      <c r="AF16" s="24">
        <f t="shared" si="13"/>
        <v>0</v>
      </c>
      <c r="AG16" s="53"/>
      <c r="AH16" s="53"/>
      <c r="AI16" s="53"/>
      <c r="AJ16" s="53"/>
      <c r="AK16" s="53"/>
    </row>
    <row r="17">
      <c r="A17" s="26" t="s">
        <v>50</v>
      </c>
      <c r="B17" s="27">
        <f t="shared" ref="B17:AF17" si="14">COUNTIF(B14:B15,"N")</f>
        <v>1</v>
      </c>
      <c r="C17" s="27">
        <f t="shared" si="14"/>
        <v>1</v>
      </c>
      <c r="D17" s="27">
        <f t="shared" si="14"/>
        <v>1</v>
      </c>
      <c r="E17" s="27">
        <f t="shared" si="14"/>
        <v>1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1</v>
      </c>
      <c r="J17" s="27">
        <f t="shared" si="14"/>
        <v>1</v>
      </c>
      <c r="K17" s="27">
        <f t="shared" si="14"/>
        <v>1</v>
      </c>
      <c r="L17" s="27">
        <f t="shared" si="14"/>
        <v>1</v>
      </c>
      <c r="M17" s="27">
        <f t="shared" si="14"/>
        <v>1</v>
      </c>
      <c r="N17" s="27">
        <f t="shared" si="14"/>
        <v>1</v>
      </c>
      <c r="O17" s="27">
        <f t="shared" si="14"/>
        <v>0</v>
      </c>
      <c r="P17" s="27">
        <f t="shared" si="14"/>
        <v>1</v>
      </c>
      <c r="Q17" s="27">
        <f t="shared" si="14"/>
        <v>1</v>
      </c>
      <c r="R17" s="27">
        <f t="shared" si="14"/>
        <v>1</v>
      </c>
      <c r="S17" s="27">
        <f t="shared" si="14"/>
        <v>1</v>
      </c>
      <c r="T17" s="27">
        <f t="shared" si="14"/>
        <v>1</v>
      </c>
      <c r="U17" s="27">
        <f t="shared" si="14"/>
        <v>0</v>
      </c>
      <c r="V17" s="27">
        <f t="shared" si="14"/>
        <v>0</v>
      </c>
      <c r="W17" s="27">
        <f t="shared" si="14"/>
        <v>1</v>
      </c>
      <c r="X17" s="27">
        <f t="shared" si="14"/>
        <v>0</v>
      </c>
      <c r="Y17" s="27">
        <f t="shared" si="14"/>
        <v>0</v>
      </c>
      <c r="Z17" s="27">
        <f t="shared" si="14"/>
        <v>0</v>
      </c>
      <c r="AA17" s="27">
        <f t="shared" si="14"/>
        <v>0</v>
      </c>
      <c r="AB17" s="27">
        <f t="shared" si="14"/>
        <v>0</v>
      </c>
      <c r="AC17" s="27">
        <f t="shared" si="14"/>
        <v>0</v>
      </c>
      <c r="AD17" s="27">
        <f t="shared" si="14"/>
        <v>1</v>
      </c>
      <c r="AE17" s="27">
        <f t="shared" si="14"/>
        <v>0</v>
      </c>
      <c r="AF17" s="27">
        <f t="shared" si="14"/>
        <v>0</v>
      </c>
      <c r="AG17" s="22"/>
      <c r="AH17" s="22"/>
      <c r="AI17" s="22"/>
      <c r="AJ17" s="22"/>
      <c r="AK17" s="22"/>
    </row>
    <row r="18">
      <c r="I18" s="28"/>
      <c r="J18" s="11"/>
      <c r="K18" s="68"/>
      <c r="L18" s="68"/>
      <c r="M18" s="68"/>
      <c r="N18" s="68"/>
      <c r="O18" s="68"/>
      <c r="P18" s="68"/>
      <c r="Q18" s="68"/>
      <c r="R18" s="11"/>
      <c r="S18" s="11"/>
      <c r="T18" s="11"/>
      <c r="U18" s="11"/>
      <c r="V18" s="43" t="s">
        <v>0</v>
      </c>
      <c r="W18" s="11"/>
      <c r="AG18" s="22"/>
      <c r="AH18" s="22"/>
      <c r="AI18" s="22"/>
      <c r="AJ18" s="22"/>
      <c r="AK18" s="22"/>
    </row>
    <row r="19">
      <c r="E19" s="29" t="s">
        <v>51</v>
      </c>
      <c r="F19" s="30"/>
      <c r="G19" s="30"/>
      <c r="H19" s="31"/>
      <c r="J19" s="13"/>
      <c r="K19" s="71"/>
      <c r="L19" s="71"/>
      <c r="M19" s="71"/>
      <c r="N19" s="71"/>
      <c r="O19" s="71"/>
      <c r="P19" s="71"/>
      <c r="Q19" s="71"/>
      <c r="R19" s="19"/>
      <c r="S19" s="70"/>
      <c r="T19" s="70"/>
      <c r="U19" s="70"/>
      <c r="V19" s="71"/>
      <c r="W19" s="71"/>
      <c r="X19" s="71"/>
      <c r="Y19" s="71"/>
      <c r="Z19" s="71"/>
      <c r="AA19" s="71"/>
      <c r="AB19" s="71"/>
      <c r="AG19" s="22"/>
      <c r="AH19" s="22"/>
      <c r="AI19" s="22"/>
      <c r="AJ19" s="22"/>
      <c r="AK19" s="22"/>
    </row>
    <row r="20">
      <c r="E20" s="33" t="s">
        <v>38</v>
      </c>
      <c r="F20" s="1" t="s">
        <v>52</v>
      </c>
      <c r="H20" s="34"/>
      <c r="K20" s="70"/>
      <c r="L20" s="70"/>
      <c r="M20" s="70"/>
      <c r="N20" s="70"/>
      <c r="O20" s="70"/>
      <c r="P20" s="70"/>
      <c r="Q20" s="70"/>
      <c r="R20" s="13"/>
      <c r="S20" s="60"/>
      <c r="T20" s="61"/>
      <c r="U20" s="61"/>
      <c r="V20" s="70"/>
      <c r="W20" s="70"/>
      <c r="X20" s="70" t="s">
        <v>122</v>
      </c>
      <c r="Y20" s="70"/>
      <c r="Z20" s="70"/>
      <c r="AA20" s="70"/>
      <c r="AB20" s="70"/>
      <c r="AG20" s="22"/>
      <c r="AH20" s="22"/>
      <c r="AI20" s="22"/>
      <c r="AJ20" s="22"/>
      <c r="AK20" s="22"/>
    </row>
    <row r="21">
      <c r="E21" s="33" t="s">
        <v>39</v>
      </c>
      <c r="F21" s="1" t="s">
        <v>53</v>
      </c>
      <c r="H21" s="34"/>
      <c r="J21" s="19"/>
      <c r="K21" s="60"/>
      <c r="L21" s="60"/>
      <c r="M21" s="61"/>
      <c r="N21" s="61"/>
      <c r="O21" s="61"/>
      <c r="P21" s="61"/>
      <c r="Q21" s="61"/>
      <c r="R21" s="13"/>
      <c r="S21" s="70"/>
      <c r="T21" s="70"/>
      <c r="U21" s="70"/>
      <c r="V21" s="60"/>
      <c r="W21" s="60"/>
      <c r="X21" s="60" t="s">
        <v>123</v>
      </c>
      <c r="Y21" s="60" t="s">
        <v>124</v>
      </c>
      <c r="Z21" s="60"/>
      <c r="AA21" s="61"/>
      <c r="AB21" s="61"/>
    </row>
    <row r="22">
      <c r="E22" s="33" t="s">
        <v>41</v>
      </c>
      <c r="F22" s="1" t="s">
        <v>54</v>
      </c>
      <c r="H22" s="34"/>
      <c r="J22" s="13"/>
      <c r="K22" s="70"/>
      <c r="L22" s="70"/>
      <c r="M22" s="70"/>
      <c r="N22" s="70"/>
      <c r="O22" s="70"/>
      <c r="P22" s="70"/>
      <c r="Q22" s="70"/>
      <c r="R22" s="13"/>
      <c r="S22" s="69"/>
      <c r="T22" s="69"/>
      <c r="U22" s="69"/>
      <c r="V22" s="70"/>
      <c r="W22" s="70"/>
      <c r="X22" s="88" t="s">
        <v>125</v>
      </c>
      <c r="Y22" s="88" t="s">
        <v>126</v>
      </c>
      <c r="Z22" s="70"/>
      <c r="AA22" s="70"/>
      <c r="AB22" s="70"/>
    </row>
    <row r="23">
      <c r="E23" s="33" t="s">
        <v>55</v>
      </c>
      <c r="F23" s="1" t="s">
        <v>56</v>
      </c>
      <c r="H23" s="34"/>
      <c r="I23" s="72"/>
      <c r="J23" s="13"/>
      <c r="K23" s="70"/>
      <c r="L23" s="70"/>
      <c r="M23" s="70"/>
      <c r="N23" s="70"/>
      <c r="O23" s="70"/>
      <c r="P23" s="70"/>
      <c r="Q23" s="70"/>
      <c r="R23" s="13"/>
      <c r="T23" s="20"/>
      <c r="U23" s="20"/>
      <c r="V23" s="20"/>
      <c r="W23" s="20"/>
      <c r="X23" s="13"/>
    </row>
    <row r="24">
      <c r="E24" s="33" t="s">
        <v>40</v>
      </c>
      <c r="F24" s="1" t="s">
        <v>57</v>
      </c>
      <c r="H24" s="34"/>
      <c r="I24" s="20"/>
      <c r="J24" s="13"/>
      <c r="K24" s="25"/>
      <c r="L24" s="25"/>
      <c r="M24" s="25"/>
      <c r="N24" s="25"/>
      <c r="O24" s="25"/>
      <c r="P24" s="25"/>
      <c r="Q24" s="25"/>
      <c r="T24" s="20"/>
      <c r="U24" s="20"/>
      <c r="V24" s="20"/>
      <c r="W24" s="20"/>
      <c r="X24" s="89" t="s">
        <v>127</v>
      </c>
    </row>
    <row r="25">
      <c r="E25" s="33" t="s">
        <v>58</v>
      </c>
      <c r="F25" s="1" t="s">
        <v>59</v>
      </c>
      <c r="H25" s="34"/>
      <c r="I25" s="20"/>
      <c r="J25" s="55"/>
      <c r="K25" s="25"/>
      <c r="L25" s="25"/>
      <c r="M25" s="25"/>
      <c r="N25" s="25"/>
      <c r="O25" s="25"/>
      <c r="P25" s="25"/>
      <c r="Q25" s="25"/>
      <c r="T25" s="20"/>
      <c r="U25" s="20"/>
      <c r="V25" s="20"/>
      <c r="W25" s="20"/>
    </row>
    <row r="26">
      <c r="E26" s="33" t="s">
        <v>60</v>
      </c>
      <c r="F26" s="1" t="s">
        <v>61</v>
      </c>
      <c r="H26" s="34"/>
      <c r="K26" s="25"/>
      <c r="L26" s="25"/>
      <c r="M26" s="25"/>
      <c r="N26" s="25"/>
      <c r="O26" s="20"/>
      <c r="P26" s="20"/>
      <c r="Q26" s="20"/>
    </row>
    <row r="27">
      <c r="E27" s="33" t="s">
        <v>44</v>
      </c>
      <c r="F27" s="1" t="s">
        <v>62</v>
      </c>
      <c r="H27" s="34"/>
    </row>
    <row r="28">
      <c r="E28" s="33" t="s">
        <v>63</v>
      </c>
      <c r="F28" s="1" t="s">
        <v>64</v>
      </c>
      <c r="H28" s="34"/>
    </row>
    <row r="29">
      <c r="E29" s="33" t="s">
        <v>65</v>
      </c>
      <c r="F29" s="1" t="s">
        <v>66</v>
      </c>
      <c r="H29" s="34"/>
    </row>
    <row r="30">
      <c r="E30" s="33" t="s">
        <v>46</v>
      </c>
      <c r="F30" s="1" t="s">
        <v>67</v>
      </c>
      <c r="H30" s="34"/>
    </row>
    <row r="31">
      <c r="E31" s="35" t="s">
        <v>68</v>
      </c>
      <c r="F31" s="36" t="s">
        <v>69</v>
      </c>
      <c r="G31" s="8"/>
      <c r="H31" s="37"/>
    </row>
    <row r="32">
      <c r="A32" s="6"/>
      <c r="B32" s="11"/>
      <c r="C32" s="11"/>
      <c r="D32" s="11"/>
      <c r="E32" s="11"/>
      <c r="F32" s="11"/>
      <c r="G32" s="11"/>
      <c r="H32" s="11"/>
    </row>
    <row r="33">
      <c r="A33" s="13"/>
      <c r="B33" s="90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</row>
    <row r="34">
      <c r="A34" s="13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</row>
    <row r="35">
      <c r="A35" s="13"/>
      <c r="B35" s="20"/>
      <c r="C35" s="20"/>
      <c r="D35" s="20"/>
      <c r="E35" s="20"/>
      <c r="F35" s="20"/>
      <c r="G35" s="20"/>
      <c r="H35" s="20"/>
    </row>
    <row r="36">
      <c r="A36" s="13"/>
      <c r="B36" s="20"/>
      <c r="C36" s="20"/>
      <c r="D36" s="20"/>
      <c r="E36" s="66"/>
      <c r="F36" s="66"/>
      <c r="G36" s="67"/>
      <c r="H36" s="67"/>
    </row>
    <row r="37">
      <c r="A37" s="13"/>
      <c r="B37" s="20"/>
      <c r="C37" s="20"/>
      <c r="D37" s="20"/>
      <c r="E37" s="20"/>
      <c r="F37" s="20"/>
      <c r="G37" s="20"/>
      <c r="H37" s="20"/>
    </row>
  </sheetData>
  <mergeCells count="16">
    <mergeCell ref="B1:AC3"/>
    <mergeCell ref="B13:AF13"/>
    <mergeCell ref="E19:H19"/>
    <mergeCell ref="F20:H20"/>
    <mergeCell ref="F21:H21"/>
    <mergeCell ref="F22:H22"/>
    <mergeCell ref="F23:H23"/>
    <mergeCell ref="F30:H30"/>
    <mergeCell ref="F31:H31"/>
    <mergeCell ref="F24:H24"/>
    <mergeCell ref="X24:AE26"/>
    <mergeCell ref="F25:H25"/>
    <mergeCell ref="F26:H26"/>
    <mergeCell ref="F27:H27"/>
    <mergeCell ref="F28:H28"/>
    <mergeCell ref="F29:H29"/>
  </mergeCells>
  <conditionalFormatting sqref="B9:H9 T23:W23">
    <cfRule type="cellIs" dxfId="0" priority="1" operator="equal">
      <formula>"X"</formula>
    </cfRule>
  </conditionalFormatting>
  <conditionalFormatting sqref="B9:H9 T23:W23">
    <cfRule type="cellIs" dxfId="1" priority="2" operator="equal">
      <formula>"D"</formula>
    </cfRule>
  </conditionalFormatting>
  <conditionalFormatting sqref="B9:H9 T23:W23">
    <cfRule type="cellIs" dxfId="2" priority="3" operator="equal">
      <formula>"N"</formula>
    </cfRule>
  </conditionalFormatting>
  <conditionalFormatting sqref="B9:H9 T23:W23">
    <cfRule type="cellIs" dxfId="3" priority="4" operator="equal">
      <formula>"OB"</formula>
    </cfRule>
  </conditionalFormatting>
  <conditionalFormatting sqref="B9:H9 T23:W23">
    <cfRule type="cellIs" dxfId="0" priority="5" operator="equal">
      <formula>"C"</formula>
    </cfRule>
  </conditionalFormatting>
  <conditionalFormatting sqref="B9:H9 T23:W23">
    <cfRule type="cellIs" dxfId="0" priority="6" operator="equal">
      <formula>"AL"</formula>
    </cfRule>
  </conditionalFormatting>
  <conditionalFormatting sqref="B9:H9 T23:W23">
    <cfRule type="cellIs" dxfId="4" priority="7" operator="equal">
      <formula>"UP"</formula>
    </cfRule>
  </conditionalFormatting>
  <conditionalFormatting sqref="B9:H9 T23:W23">
    <cfRule type="cellIs" dxfId="0" priority="8" operator="equal">
      <formula>"S"</formula>
    </cfRule>
  </conditionalFormatting>
  <conditionalFormatting sqref="B9:H9 T23:W23">
    <cfRule type="cellIs" dxfId="5" priority="9" operator="equal">
      <formula>"OC"</formula>
    </cfRule>
  </conditionalFormatting>
  <conditionalFormatting sqref="B9:H9 T23:W23">
    <cfRule type="cellIs" dxfId="6" priority="10" operator="equal">
      <formula>"SPV"</formula>
    </cfRule>
  </conditionalFormatting>
  <conditionalFormatting sqref="B9:H9 T23:W23">
    <cfRule type="cellIs" dxfId="7" priority="11" operator="equal">
      <formula>"INT"</formula>
    </cfRule>
  </conditionalFormatting>
  <conditionalFormatting sqref="B9:H9 T23:W23">
    <cfRule type="cellIs" dxfId="8" priority="12" operator="equal">
      <formula>"T"</formula>
    </cfRule>
  </conditionalFormatting>
  <conditionalFormatting sqref="B6:AF10 B14:AF15 E18:E31 K19:P26 Q19:Q23 S19:AB22 I23:I25 T24:W25 J25 Q26 B33:H37 I33:AF34 G39:J39">
    <cfRule type="cellIs" dxfId="0" priority="13" operator="equal">
      <formula>"X"</formula>
    </cfRule>
  </conditionalFormatting>
  <conditionalFormatting sqref="B6:AF10 B14:AF15 E18:E31 K19:P26 Q19:Q23 S19:AB22 I23:I25 T24:W25 J25 Q26 B33:H37 I33:AF34 G39:J39">
    <cfRule type="cellIs" dxfId="1" priority="14" operator="equal">
      <formula>"D"</formula>
    </cfRule>
  </conditionalFormatting>
  <conditionalFormatting sqref="B6:AF10 B14:AF15 E18:E31 K19:P26 Q19:Q23 S19:AB22 I23:I25 T24:W25 J25 Q26 B33:H37 I33:AF34 G39:J39">
    <cfRule type="cellIs" dxfId="2" priority="15" operator="equal">
      <formula>"N"</formula>
    </cfRule>
  </conditionalFormatting>
  <conditionalFormatting sqref="B6:AF10 B14:AF15 E18:E31 K19:P26 Q19:Q23 S19:AB22 I23:I25 T24:W25 J25 Q26 B33:H37 I33:AF34 G39:J39">
    <cfRule type="cellIs" dxfId="3" priority="16" operator="equal">
      <formula>"OB"</formula>
    </cfRule>
  </conditionalFormatting>
  <conditionalFormatting sqref="B6:AF10 B14:AF15 E18:E31 K19:P26 Q19:Q23 S19:AB22 I23:I25 T24:W25 J25 Q26 B33:H37 I33:AF34 G39:J39">
    <cfRule type="cellIs" dxfId="0" priority="17" operator="equal">
      <formula>"C"</formula>
    </cfRule>
  </conditionalFormatting>
  <conditionalFormatting sqref="B6:AF10 B14:AF15 E18:E31 K19:P26 Q19:Q23 S19:AB22 I23:I25 T24:W25 J25 Q26 B33:H37 I33:AF34 G39:J39">
    <cfRule type="cellIs" dxfId="0" priority="18" operator="equal">
      <formula>"AL"</formula>
    </cfRule>
  </conditionalFormatting>
  <conditionalFormatting sqref="B6:AF10 B14:AF15 E18:E31 K19:P26 Q19:Q23 S19:AB22 I23:I25 T24:W25 J25 Q26 B33:H37 I33:AF34 G39:J39">
    <cfRule type="cellIs" dxfId="4" priority="19" operator="equal">
      <formula>"UP"</formula>
    </cfRule>
  </conditionalFormatting>
  <conditionalFormatting sqref="B6:AF10 B14:AF15 E18:E31 K19:P26 Q19:Q23 S19:AB22 I23:I25 T24:W25 J25 Q26 B33:H37 I33:AF34 G39:J39">
    <cfRule type="cellIs" dxfId="0" priority="20" operator="equal">
      <formula>"S"</formula>
    </cfRule>
  </conditionalFormatting>
  <conditionalFormatting sqref="B6:AF10 B14:AF15 E18:E31 K19:P26 Q19:Q23 S19:AB22 I23:I25 T24:W25 J25 Q26 B33:H37 I33:AF34 G39:J39">
    <cfRule type="cellIs" dxfId="5" priority="21" operator="equal">
      <formula>"OC"</formula>
    </cfRule>
  </conditionalFormatting>
  <conditionalFormatting sqref="B6:AF10 B14:AF15 E18:E31 K19:P26 Q19:Q23 S19:AB22 I23:I25 T24:W25 J25 Q26 B33:H37 I33:AF34 G39:J39">
    <cfRule type="cellIs" dxfId="6" priority="22" operator="equal">
      <formula>"SPV"</formula>
    </cfRule>
  </conditionalFormatting>
  <conditionalFormatting sqref="B6:AF10 B14:AF15 E18:E31 K19:P26 Q19:Q23 S19:AB22 I23:I25 T24:W25 J25 Q26 B33:H37 I33:AF34 G39:J39">
    <cfRule type="cellIs" dxfId="7" priority="23" operator="equal">
      <formula>"INT"</formula>
    </cfRule>
  </conditionalFormatting>
  <conditionalFormatting sqref="B6:AF10 B14:AF15 K19:P25 Q19:Q23 S19:AB22 T24:W25 J25 B33:AF34">
    <cfRule type="cellIs" dxfId="8" priority="24" operator="equal">
      <formula>"T"</formula>
    </cfRule>
  </conditionalFormatting>
  <conditionalFormatting sqref="E30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2</v>
      </c>
      <c r="H4" s="10" t="s">
        <v>3</v>
      </c>
      <c r="I4" s="10" t="s">
        <v>4</v>
      </c>
      <c r="J4" s="10" t="s">
        <v>5</v>
      </c>
      <c r="K4" s="10" t="s">
        <v>6</v>
      </c>
      <c r="L4" s="10" t="s">
        <v>7</v>
      </c>
      <c r="M4" s="10" t="s">
        <v>8</v>
      </c>
      <c r="N4" s="10" t="s">
        <v>2</v>
      </c>
      <c r="O4" s="10" t="s">
        <v>3</v>
      </c>
      <c r="P4" s="10" t="s">
        <v>4</v>
      </c>
      <c r="Q4" s="10" t="s">
        <v>5</v>
      </c>
      <c r="R4" s="10" t="s">
        <v>6</v>
      </c>
      <c r="S4" s="10" t="s">
        <v>7</v>
      </c>
      <c r="T4" s="10" t="s">
        <v>8</v>
      </c>
      <c r="U4" s="10" t="s">
        <v>2</v>
      </c>
      <c r="V4" s="10" t="s">
        <v>3</v>
      </c>
      <c r="W4" s="10" t="s">
        <v>4</v>
      </c>
      <c r="X4" s="10" t="s">
        <v>5</v>
      </c>
      <c r="Y4" s="10" t="s">
        <v>6</v>
      </c>
      <c r="Z4" s="10" t="s">
        <v>7</v>
      </c>
      <c r="AA4" s="10" t="s">
        <v>8</v>
      </c>
      <c r="AB4" s="10" t="s">
        <v>2</v>
      </c>
      <c r="AC4" s="10" t="s">
        <v>3</v>
      </c>
      <c r="AD4" s="10" t="s">
        <v>4</v>
      </c>
      <c r="AE4" s="10" t="s">
        <v>5</v>
      </c>
      <c r="AF4" s="10" t="s">
        <v>6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39" t="s">
        <v>130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38</v>
      </c>
      <c r="C7" s="69" t="s">
        <v>40</v>
      </c>
      <c r="D7" s="69" t="s">
        <v>40</v>
      </c>
      <c r="E7" s="69" t="s">
        <v>38</v>
      </c>
      <c r="F7" s="69" t="s">
        <v>38</v>
      </c>
      <c r="G7" s="69" t="s">
        <v>40</v>
      </c>
      <c r="H7" s="69" t="s">
        <v>40</v>
      </c>
      <c r="I7" s="60" t="s">
        <v>39</v>
      </c>
      <c r="J7" s="60" t="s">
        <v>39</v>
      </c>
      <c r="K7" s="60" t="s">
        <v>40</v>
      </c>
      <c r="L7" s="60" t="s">
        <v>40</v>
      </c>
      <c r="M7" s="61" t="s">
        <v>39</v>
      </c>
      <c r="N7" s="61" t="s">
        <v>39</v>
      </c>
      <c r="O7" s="61" t="s">
        <v>40</v>
      </c>
      <c r="P7" s="70" t="s">
        <v>40</v>
      </c>
      <c r="Q7" s="70" t="s">
        <v>39</v>
      </c>
      <c r="R7" s="70" t="s">
        <v>39</v>
      </c>
      <c r="S7" s="70" t="s">
        <v>40</v>
      </c>
      <c r="T7" s="70" t="s">
        <v>40</v>
      </c>
      <c r="U7" s="70" t="s">
        <v>39</v>
      </c>
      <c r="V7" s="70" t="s">
        <v>39</v>
      </c>
      <c r="W7" s="71" t="s">
        <v>40</v>
      </c>
      <c r="X7" s="71" t="s">
        <v>38</v>
      </c>
      <c r="Y7" s="71" t="s">
        <v>38</v>
      </c>
      <c r="Z7" s="71" t="s">
        <v>38</v>
      </c>
      <c r="AA7" s="71" t="s">
        <v>40</v>
      </c>
      <c r="AB7" s="71" t="s">
        <v>40</v>
      </c>
      <c r="AC7" s="71" t="s">
        <v>38</v>
      </c>
      <c r="AD7" s="71" t="s">
        <v>38</v>
      </c>
      <c r="AE7" s="71" t="s">
        <v>40</v>
      </c>
      <c r="AF7" s="71" t="s">
        <v>40</v>
      </c>
      <c r="AG7" s="49">
        <f t="shared" ref="AG7:AG10" si="1">COUNTIF(B7:AF7,"D")</f>
        <v>8</v>
      </c>
      <c r="AH7" s="49">
        <f t="shared" ref="AH7:AH10" si="2">COUNTIF(B7:AF7,"N")</f>
        <v>8</v>
      </c>
      <c r="AI7" s="49">
        <f t="shared" ref="AI7:AI10" si="3">COUNTIF(B7:AF7,"X")</f>
        <v>15</v>
      </c>
      <c r="AJ7" s="49">
        <f t="shared" ref="AJ7:AJ10" si="4">AG7+AH7</f>
        <v>16</v>
      </c>
      <c r="AK7" s="84">
        <f t="shared" ref="AK7:AK10" si="5">(AJ7*12)/4.4</f>
        <v>43.63636364</v>
      </c>
    </row>
    <row r="8">
      <c r="A8" s="13" t="s">
        <v>84</v>
      </c>
      <c r="B8" s="69" t="s">
        <v>39</v>
      </c>
      <c r="C8" s="69" t="s">
        <v>40</v>
      </c>
      <c r="D8" s="69" t="s">
        <v>40</v>
      </c>
      <c r="E8" s="69" t="s">
        <v>39</v>
      </c>
      <c r="F8" s="69" t="s">
        <v>39</v>
      </c>
      <c r="G8" s="69" t="s">
        <v>40</v>
      </c>
      <c r="H8" s="69" t="s">
        <v>40</v>
      </c>
      <c r="I8" s="69" t="s">
        <v>38</v>
      </c>
      <c r="J8" s="69" t="s">
        <v>38</v>
      </c>
      <c r="K8" s="69" t="s">
        <v>40</v>
      </c>
      <c r="L8" s="69" t="s">
        <v>40</v>
      </c>
      <c r="M8" s="69" t="s">
        <v>38</v>
      </c>
      <c r="N8" s="69" t="s">
        <v>38</v>
      </c>
      <c r="O8" s="69" t="s">
        <v>40</v>
      </c>
      <c r="P8" s="60" t="s">
        <v>40</v>
      </c>
      <c r="Q8" s="60" t="s">
        <v>38</v>
      </c>
      <c r="R8" s="60" t="s">
        <v>38</v>
      </c>
      <c r="S8" s="60" t="s">
        <v>40</v>
      </c>
      <c r="T8" s="60" t="s">
        <v>40</v>
      </c>
      <c r="U8" s="61" t="s">
        <v>38</v>
      </c>
      <c r="V8" s="61" t="s">
        <v>38</v>
      </c>
      <c r="W8" s="70" t="s">
        <v>38</v>
      </c>
      <c r="X8" s="70" t="s">
        <v>40</v>
      </c>
      <c r="Y8" s="70" t="s">
        <v>39</v>
      </c>
      <c r="Z8" s="70" t="s">
        <v>39</v>
      </c>
      <c r="AA8" s="70" t="s">
        <v>39</v>
      </c>
      <c r="AB8" s="70" t="s">
        <v>40</v>
      </c>
      <c r="AC8" s="70" t="s">
        <v>39</v>
      </c>
      <c r="AD8" s="70" t="s">
        <v>39</v>
      </c>
      <c r="AE8" s="70" t="s">
        <v>40</v>
      </c>
      <c r="AF8" s="70" t="s">
        <v>40</v>
      </c>
      <c r="AG8" s="49">
        <f t="shared" si="1"/>
        <v>9</v>
      </c>
      <c r="AH8" s="49">
        <f t="shared" si="2"/>
        <v>8</v>
      </c>
      <c r="AI8" s="49">
        <f t="shared" si="3"/>
        <v>14</v>
      </c>
      <c r="AJ8" s="49">
        <f t="shared" si="4"/>
        <v>17</v>
      </c>
      <c r="AK8" s="84">
        <f t="shared" si="5"/>
        <v>46.36363636</v>
      </c>
    </row>
    <row r="9">
      <c r="A9" s="13" t="s">
        <v>73</v>
      </c>
      <c r="B9" s="60" t="s">
        <v>40</v>
      </c>
      <c r="C9" s="60" t="s">
        <v>39</v>
      </c>
      <c r="D9" s="60" t="s">
        <v>39</v>
      </c>
      <c r="E9" s="60" t="s">
        <v>40</v>
      </c>
      <c r="F9" s="60" t="s">
        <v>40</v>
      </c>
      <c r="G9" s="61" t="s">
        <v>38</v>
      </c>
      <c r="H9" s="61" t="s">
        <v>38</v>
      </c>
      <c r="I9" s="70" t="s">
        <v>40</v>
      </c>
      <c r="J9" s="70" t="s">
        <v>40</v>
      </c>
      <c r="K9" s="70" t="s">
        <v>39</v>
      </c>
      <c r="L9" s="70" t="s">
        <v>39</v>
      </c>
      <c r="M9" s="70" t="s">
        <v>40</v>
      </c>
      <c r="N9" s="70" t="s">
        <v>40</v>
      </c>
      <c r="O9" s="70" t="s">
        <v>39</v>
      </c>
      <c r="P9" s="70" t="s">
        <v>39</v>
      </c>
      <c r="Q9" s="70" t="s">
        <v>40</v>
      </c>
      <c r="R9" s="70" t="s">
        <v>40</v>
      </c>
      <c r="S9" s="70" t="s">
        <v>39</v>
      </c>
      <c r="T9" s="70" t="s">
        <v>39</v>
      </c>
      <c r="U9" s="70" t="s">
        <v>40</v>
      </c>
      <c r="V9" s="70" t="s">
        <v>40</v>
      </c>
      <c r="W9" s="60" t="s">
        <v>39</v>
      </c>
      <c r="X9" s="60" t="s">
        <v>39</v>
      </c>
      <c r="Y9" s="60" t="s">
        <v>40</v>
      </c>
      <c r="Z9" s="60" t="s">
        <v>40</v>
      </c>
      <c r="AA9" s="60" t="s">
        <v>38</v>
      </c>
      <c r="AB9" s="61" t="s">
        <v>38</v>
      </c>
      <c r="AC9" s="61" t="s">
        <v>40</v>
      </c>
      <c r="AD9" s="61" t="s">
        <v>40</v>
      </c>
      <c r="AE9" s="61" t="s">
        <v>38</v>
      </c>
      <c r="AF9" s="61" t="s">
        <v>38</v>
      </c>
      <c r="AG9" s="49">
        <f t="shared" si="1"/>
        <v>6</v>
      </c>
      <c r="AH9" s="49">
        <f t="shared" si="2"/>
        <v>10</v>
      </c>
      <c r="AI9" s="49">
        <f t="shared" si="3"/>
        <v>15</v>
      </c>
      <c r="AJ9" s="49">
        <f t="shared" si="4"/>
        <v>16</v>
      </c>
      <c r="AK9" s="84">
        <f t="shared" si="5"/>
        <v>43.63636364</v>
      </c>
    </row>
    <row r="10">
      <c r="A10" s="13" t="s">
        <v>48</v>
      </c>
      <c r="B10" s="69" t="s">
        <v>40</v>
      </c>
      <c r="C10" s="69" t="s">
        <v>38</v>
      </c>
      <c r="D10" s="69" t="s">
        <v>38</v>
      </c>
      <c r="E10" s="69" t="s">
        <v>40</v>
      </c>
      <c r="F10" s="69" t="s">
        <v>40</v>
      </c>
      <c r="G10" s="69" t="s">
        <v>39</v>
      </c>
      <c r="H10" s="69" t="s">
        <v>39</v>
      </c>
      <c r="I10" s="69" t="s">
        <v>40</v>
      </c>
      <c r="J10" s="69" t="s">
        <v>40</v>
      </c>
      <c r="K10" s="69" t="s">
        <v>38</v>
      </c>
      <c r="L10" s="69" t="s">
        <v>38</v>
      </c>
      <c r="M10" s="69" t="s">
        <v>40</v>
      </c>
      <c r="N10" s="69" t="s">
        <v>40</v>
      </c>
      <c r="O10" s="69" t="s">
        <v>38</v>
      </c>
      <c r="P10" s="69" t="s">
        <v>38</v>
      </c>
      <c r="Q10" s="69" t="s">
        <v>40</v>
      </c>
      <c r="R10" s="69" t="s">
        <v>40</v>
      </c>
      <c r="S10" s="69" t="s">
        <v>38</v>
      </c>
      <c r="T10" s="69" t="s">
        <v>38</v>
      </c>
      <c r="U10" s="69" t="s">
        <v>44</v>
      </c>
      <c r="V10" s="69" t="s">
        <v>44</v>
      </c>
      <c r="W10" s="70" t="s">
        <v>44</v>
      </c>
      <c r="X10" s="70" t="s">
        <v>44</v>
      </c>
      <c r="Y10" s="70" t="s">
        <v>44</v>
      </c>
      <c r="Z10" s="70" t="s">
        <v>40</v>
      </c>
      <c r="AA10" s="70" t="s">
        <v>40</v>
      </c>
      <c r="AB10" s="70" t="s">
        <v>39</v>
      </c>
      <c r="AC10" s="70" t="s">
        <v>40</v>
      </c>
      <c r="AD10" s="70" t="s">
        <v>40</v>
      </c>
      <c r="AE10" s="70" t="s">
        <v>39</v>
      </c>
      <c r="AF10" s="70" t="s">
        <v>39</v>
      </c>
      <c r="AG10" s="49">
        <f t="shared" si="1"/>
        <v>8</v>
      </c>
      <c r="AH10" s="49">
        <f t="shared" si="2"/>
        <v>5</v>
      </c>
      <c r="AI10" s="49">
        <f t="shared" si="3"/>
        <v>13</v>
      </c>
      <c r="AJ10" s="49">
        <f t="shared" si="4"/>
        <v>13</v>
      </c>
      <c r="AK10" s="84">
        <f t="shared" si="5"/>
        <v>35.45454545</v>
      </c>
    </row>
    <row r="11">
      <c r="A11" s="23" t="s">
        <v>49</v>
      </c>
      <c r="B11" s="24">
        <f t="shared" ref="B11:AF11" si="6">COUNTIF(B6:B10,"D")</f>
        <v>1</v>
      </c>
      <c r="C11" s="24">
        <f t="shared" si="6"/>
        <v>1</v>
      </c>
      <c r="D11" s="24">
        <f t="shared" si="6"/>
        <v>1</v>
      </c>
      <c r="E11" s="24">
        <f t="shared" si="6"/>
        <v>1</v>
      </c>
      <c r="F11" s="24">
        <f t="shared" si="6"/>
        <v>1</v>
      </c>
      <c r="G11" s="24">
        <f t="shared" si="6"/>
        <v>1</v>
      </c>
      <c r="H11" s="24">
        <f t="shared" si="6"/>
        <v>1</v>
      </c>
      <c r="I11" s="24">
        <f t="shared" si="6"/>
        <v>1</v>
      </c>
      <c r="J11" s="24">
        <f t="shared" si="6"/>
        <v>1</v>
      </c>
      <c r="K11" s="24">
        <f t="shared" si="6"/>
        <v>1</v>
      </c>
      <c r="L11" s="24">
        <f t="shared" si="6"/>
        <v>1</v>
      </c>
      <c r="M11" s="24">
        <f t="shared" si="6"/>
        <v>1</v>
      </c>
      <c r="N11" s="24">
        <f t="shared" si="6"/>
        <v>1</v>
      </c>
      <c r="O11" s="24">
        <f t="shared" si="6"/>
        <v>1</v>
      </c>
      <c r="P11" s="24">
        <f t="shared" si="6"/>
        <v>1</v>
      </c>
      <c r="Q11" s="24">
        <f t="shared" si="6"/>
        <v>1</v>
      </c>
      <c r="R11" s="24">
        <f t="shared" si="6"/>
        <v>1</v>
      </c>
      <c r="S11" s="24">
        <f t="shared" si="6"/>
        <v>1</v>
      </c>
      <c r="T11" s="24">
        <f t="shared" si="6"/>
        <v>1</v>
      </c>
      <c r="U11" s="24">
        <f t="shared" si="6"/>
        <v>1</v>
      </c>
      <c r="V11" s="24">
        <f t="shared" si="6"/>
        <v>1</v>
      </c>
      <c r="W11" s="24">
        <f t="shared" si="6"/>
        <v>1</v>
      </c>
      <c r="X11" s="24">
        <f t="shared" si="6"/>
        <v>1</v>
      </c>
      <c r="Y11" s="24">
        <f t="shared" si="6"/>
        <v>1</v>
      </c>
      <c r="Z11" s="24">
        <f t="shared" si="6"/>
        <v>1</v>
      </c>
      <c r="AA11" s="24">
        <f t="shared" si="6"/>
        <v>1</v>
      </c>
      <c r="AB11" s="24">
        <f t="shared" si="6"/>
        <v>1</v>
      </c>
      <c r="AC11" s="24">
        <f t="shared" si="6"/>
        <v>1</v>
      </c>
      <c r="AD11" s="24">
        <f t="shared" si="6"/>
        <v>1</v>
      </c>
      <c r="AE11" s="24">
        <f t="shared" si="6"/>
        <v>1</v>
      </c>
      <c r="AF11" s="24">
        <f t="shared" si="6"/>
        <v>1</v>
      </c>
      <c r="AJ11" s="49"/>
    </row>
    <row r="12">
      <c r="A12" s="26" t="s">
        <v>50</v>
      </c>
      <c r="B12" s="27">
        <f t="shared" ref="B12:AF12" si="7">COUNTIF(B6:B10,"N")</f>
        <v>1</v>
      </c>
      <c r="C12" s="27">
        <f t="shared" si="7"/>
        <v>1</v>
      </c>
      <c r="D12" s="27">
        <f t="shared" si="7"/>
        <v>1</v>
      </c>
      <c r="E12" s="27">
        <f t="shared" si="7"/>
        <v>1</v>
      </c>
      <c r="F12" s="27">
        <f t="shared" si="7"/>
        <v>1</v>
      </c>
      <c r="G12" s="27">
        <f t="shared" si="7"/>
        <v>1</v>
      </c>
      <c r="H12" s="27">
        <f t="shared" si="7"/>
        <v>1</v>
      </c>
      <c r="I12" s="27">
        <f t="shared" si="7"/>
        <v>1</v>
      </c>
      <c r="J12" s="27">
        <f t="shared" si="7"/>
        <v>1</v>
      </c>
      <c r="K12" s="27">
        <f t="shared" si="7"/>
        <v>1</v>
      </c>
      <c r="L12" s="27">
        <f t="shared" si="7"/>
        <v>1</v>
      </c>
      <c r="M12" s="27">
        <f t="shared" si="7"/>
        <v>1</v>
      </c>
      <c r="N12" s="27">
        <f t="shared" si="7"/>
        <v>1</v>
      </c>
      <c r="O12" s="27">
        <f t="shared" si="7"/>
        <v>1</v>
      </c>
      <c r="P12" s="27">
        <f t="shared" si="7"/>
        <v>1</v>
      </c>
      <c r="Q12" s="27">
        <f t="shared" si="7"/>
        <v>1</v>
      </c>
      <c r="R12" s="27">
        <f t="shared" si="7"/>
        <v>1</v>
      </c>
      <c r="S12" s="27">
        <f t="shared" si="7"/>
        <v>1</v>
      </c>
      <c r="T12" s="27">
        <f t="shared" si="7"/>
        <v>1</v>
      </c>
      <c r="U12" s="27">
        <f t="shared" si="7"/>
        <v>1</v>
      </c>
      <c r="V12" s="27">
        <f t="shared" si="7"/>
        <v>1</v>
      </c>
      <c r="W12" s="27">
        <f t="shared" si="7"/>
        <v>1</v>
      </c>
      <c r="X12" s="27">
        <f t="shared" si="7"/>
        <v>1</v>
      </c>
      <c r="Y12" s="27">
        <f t="shared" si="7"/>
        <v>1</v>
      </c>
      <c r="Z12" s="27">
        <f t="shared" si="7"/>
        <v>1</v>
      </c>
      <c r="AA12" s="27">
        <f t="shared" si="7"/>
        <v>1</v>
      </c>
      <c r="AB12" s="27">
        <f t="shared" si="7"/>
        <v>1</v>
      </c>
      <c r="AC12" s="27">
        <f t="shared" si="7"/>
        <v>1</v>
      </c>
      <c r="AD12" s="27">
        <f t="shared" si="7"/>
        <v>1</v>
      </c>
      <c r="AE12" s="27">
        <f t="shared" si="7"/>
        <v>1</v>
      </c>
      <c r="AF12" s="27">
        <f t="shared" si="7"/>
        <v>1</v>
      </c>
    </row>
    <row r="13">
      <c r="B13" s="85" t="s">
        <v>120</v>
      </c>
      <c r="AG13" s="44" t="s">
        <v>38</v>
      </c>
      <c r="AH13" s="45" t="s">
        <v>39</v>
      </c>
      <c r="AI13" s="46" t="s">
        <v>40</v>
      </c>
      <c r="AJ13" s="48" t="s">
        <v>42</v>
      </c>
      <c r="AK13" s="54" t="s">
        <v>76</v>
      </c>
    </row>
    <row r="14">
      <c r="A14" s="13" t="s">
        <v>104</v>
      </c>
      <c r="B14" s="69" t="s">
        <v>39</v>
      </c>
      <c r="C14" s="69" t="s">
        <v>39</v>
      </c>
      <c r="D14" s="69" t="s">
        <v>39</v>
      </c>
      <c r="E14" s="69" t="s">
        <v>40</v>
      </c>
      <c r="F14" s="69" t="s">
        <v>40</v>
      </c>
      <c r="G14" s="69" t="s">
        <v>39</v>
      </c>
      <c r="H14" s="69" t="s">
        <v>39</v>
      </c>
      <c r="I14" s="69" t="s">
        <v>39</v>
      </c>
      <c r="J14" s="69" t="s">
        <v>39</v>
      </c>
      <c r="K14" s="69" t="s">
        <v>39</v>
      </c>
      <c r="L14" s="69" t="s">
        <v>40</v>
      </c>
      <c r="M14" s="69" t="s">
        <v>40</v>
      </c>
      <c r="N14" s="69" t="s">
        <v>38</v>
      </c>
      <c r="O14" s="69" t="s">
        <v>38</v>
      </c>
      <c r="P14" s="69" t="s">
        <v>38</v>
      </c>
      <c r="Q14" s="69" t="s">
        <v>38</v>
      </c>
      <c r="R14" s="69" t="s">
        <v>38</v>
      </c>
      <c r="S14" s="69" t="s">
        <v>40</v>
      </c>
      <c r="T14" s="69" t="s">
        <v>40</v>
      </c>
      <c r="U14" s="69" t="s">
        <v>38</v>
      </c>
      <c r="V14" s="69" t="s">
        <v>38</v>
      </c>
      <c r="W14" s="69" t="s">
        <v>38</v>
      </c>
      <c r="X14" s="69" t="s">
        <v>38</v>
      </c>
      <c r="Y14" s="69" t="s">
        <v>38</v>
      </c>
      <c r="Z14" s="69" t="s">
        <v>40</v>
      </c>
      <c r="AA14" s="69" t="s">
        <v>40</v>
      </c>
      <c r="AB14" s="69" t="s">
        <v>39</v>
      </c>
      <c r="AC14" s="69" t="s">
        <v>39</v>
      </c>
      <c r="AD14" s="69" t="s">
        <v>39</v>
      </c>
      <c r="AE14" s="69" t="s">
        <v>39</v>
      </c>
      <c r="AF14" s="69" t="s">
        <v>39</v>
      </c>
      <c r="AG14" s="49">
        <f t="shared" ref="AG14:AG15" si="8">COUNTIF(B14:AF14,"D")</f>
        <v>10</v>
      </c>
      <c r="AH14" s="49">
        <f t="shared" ref="AH14:AH15" si="9">COUNTIF(B14:AF14,"N")</f>
        <v>13</v>
      </c>
      <c r="AI14" s="49">
        <f t="shared" ref="AI14:AI15" si="10">COUNTIF(B14:AF14,"X")</f>
        <v>8</v>
      </c>
      <c r="AJ14" s="49">
        <f t="shared" ref="AJ14:AJ15" si="11">AG14+AH14</f>
        <v>23</v>
      </c>
      <c r="AK14" s="84">
        <f t="shared" ref="AK14:AK15" si="12">(AJ14*10)/4</f>
        <v>57.5</v>
      </c>
    </row>
    <row r="15">
      <c r="A15" s="13" t="s">
        <v>121</v>
      </c>
      <c r="B15" s="69" t="s">
        <v>38</v>
      </c>
      <c r="C15" s="69" t="s">
        <v>38</v>
      </c>
      <c r="D15" s="69" t="s">
        <v>38</v>
      </c>
      <c r="E15" s="69" t="s">
        <v>40</v>
      </c>
      <c r="F15" s="69" t="s">
        <v>40</v>
      </c>
      <c r="G15" s="69" t="s">
        <v>38</v>
      </c>
      <c r="H15" s="69" t="s">
        <v>38</v>
      </c>
      <c r="I15" s="69" t="s">
        <v>38</v>
      </c>
      <c r="J15" s="69" t="s">
        <v>38</v>
      </c>
      <c r="K15" s="69" t="s">
        <v>38</v>
      </c>
      <c r="L15" s="69" t="s">
        <v>40</v>
      </c>
      <c r="M15" s="69" t="s">
        <v>40</v>
      </c>
      <c r="N15" s="69" t="s">
        <v>39</v>
      </c>
      <c r="O15" s="69" t="s">
        <v>39</v>
      </c>
      <c r="P15" s="69" t="s">
        <v>39</v>
      </c>
      <c r="Q15" s="69" t="s">
        <v>39</v>
      </c>
      <c r="R15" s="69" t="s">
        <v>39</v>
      </c>
      <c r="S15" s="69" t="s">
        <v>40</v>
      </c>
      <c r="T15" s="69" t="s">
        <v>40</v>
      </c>
      <c r="U15" s="69" t="s">
        <v>39</v>
      </c>
      <c r="V15" s="69" t="s">
        <v>39</v>
      </c>
      <c r="W15" s="69" t="s">
        <v>39</v>
      </c>
      <c r="X15" s="69" t="s">
        <v>39</v>
      </c>
      <c r="Y15" s="69" t="s">
        <v>39</v>
      </c>
      <c r="Z15" s="69" t="s">
        <v>40</v>
      </c>
      <c r="AA15" s="69" t="s">
        <v>40</v>
      </c>
      <c r="AB15" s="69" t="s">
        <v>38</v>
      </c>
      <c r="AC15" s="69" t="s">
        <v>38</v>
      </c>
      <c r="AD15" s="69" t="s">
        <v>38</v>
      </c>
      <c r="AE15" s="69" t="s">
        <v>38</v>
      </c>
      <c r="AF15" s="69" t="s">
        <v>38</v>
      </c>
      <c r="AG15" s="49">
        <f t="shared" si="8"/>
        <v>13</v>
      </c>
      <c r="AH15" s="49">
        <f t="shared" si="9"/>
        <v>10</v>
      </c>
      <c r="AI15" s="49">
        <f t="shared" si="10"/>
        <v>8</v>
      </c>
      <c r="AJ15" s="49">
        <f t="shared" si="11"/>
        <v>23</v>
      </c>
      <c r="AK15" s="84">
        <f t="shared" si="12"/>
        <v>57.5</v>
      </c>
    </row>
    <row r="16">
      <c r="A16" s="23" t="s">
        <v>49</v>
      </c>
      <c r="B16" s="24">
        <f t="shared" ref="B16:AF16" si="13">COUNTIF(B14:B15,"D")</f>
        <v>1</v>
      </c>
      <c r="C16" s="24">
        <f t="shared" si="13"/>
        <v>1</v>
      </c>
      <c r="D16" s="24">
        <f t="shared" si="13"/>
        <v>1</v>
      </c>
      <c r="E16" s="24">
        <f t="shared" si="13"/>
        <v>0</v>
      </c>
      <c r="F16" s="24">
        <f t="shared" si="13"/>
        <v>0</v>
      </c>
      <c r="G16" s="24">
        <f t="shared" si="13"/>
        <v>1</v>
      </c>
      <c r="H16" s="24">
        <f t="shared" si="13"/>
        <v>1</v>
      </c>
      <c r="I16" s="24">
        <f t="shared" si="13"/>
        <v>1</v>
      </c>
      <c r="J16" s="24">
        <f t="shared" si="13"/>
        <v>1</v>
      </c>
      <c r="K16" s="24">
        <f t="shared" si="13"/>
        <v>1</v>
      </c>
      <c r="L16" s="24">
        <f t="shared" si="13"/>
        <v>0</v>
      </c>
      <c r="M16" s="24">
        <f t="shared" si="13"/>
        <v>0</v>
      </c>
      <c r="N16" s="24">
        <f t="shared" si="13"/>
        <v>1</v>
      </c>
      <c r="O16" s="24">
        <f t="shared" si="13"/>
        <v>1</v>
      </c>
      <c r="P16" s="24">
        <f t="shared" si="13"/>
        <v>1</v>
      </c>
      <c r="Q16" s="24">
        <f t="shared" si="13"/>
        <v>1</v>
      </c>
      <c r="R16" s="24">
        <f t="shared" si="13"/>
        <v>1</v>
      </c>
      <c r="S16" s="24">
        <f t="shared" si="13"/>
        <v>0</v>
      </c>
      <c r="T16" s="24">
        <f t="shared" si="13"/>
        <v>0</v>
      </c>
      <c r="U16" s="24">
        <f t="shared" si="13"/>
        <v>1</v>
      </c>
      <c r="V16" s="24">
        <f t="shared" si="13"/>
        <v>1</v>
      </c>
      <c r="W16" s="24">
        <f t="shared" si="13"/>
        <v>1</v>
      </c>
      <c r="X16" s="24">
        <f t="shared" si="13"/>
        <v>1</v>
      </c>
      <c r="Y16" s="24">
        <f t="shared" si="13"/>
        <v>1</v>
      </c>
      <c r="Z16" s="24">
        <f t="shared" si="13"/>
        <v>0</v>
      </c>
      <c r="AA16" s="24">
        <f t="shared" si="13"/>
        <v>0</v>
      </c>
      <c r="AB16" s="24">
        <f t="shared" si="13"/>
        <v>1</v>
      </c>
      <c r="AC16" s="24">
        <f t="shared" si="13"/>
        <v>1</v>
      </c>
      <c r="AD16" s="24">
        <f t="shared" si="13"/>
        <v>1</v>
      </c>
      <c r="AE16" s="24">
        <f t="shared" si="13"/>
        <v>1</v>
      </c>
      <c r="AF16" s="24">
        <f t="shared" si="13"/>
        <v>1</v>
      </c>
      <c r="AG16" s="53"/>
      <c r="AH16" s="53"/>
      <c r="AI16" s="53"/>
      <c r="AJ16" s="53"/>
      <c r="AK16" s="53"/>
    </row>
    <row r="17">
      <c r="A17" s="26" t="s">
        <v>50</v>
      </c>
      <c r="B17" s="27">
        <f t="shared" ref="B17:AF17" si="14">COUNTIF(B14:B15,"N")</f>
        <v>1</v>
      </c>
      <c r="C17" s="27">
        <f t="shared" si="14"/>
        <v>1</v>
      </c>
      <c r="D17" s="27">
        <f t="shared" si="14"/>
        <v>1</v>
      </c>
      <c r="E17" s="27">
        <f t="shared" si="14"/>
        <v>0</v>
      </c>
      <c r="F17" s="27">
        <f t="shared" si="14"/>
        <v>0</v>
      </c>
      <c r="G17" s="27">
        <f t="shared" si="14"/>
        <v>1</v>
      </c>
      <c r="H17" s="27">
        <f t="shared" si="14"/>
        <v>1</v>
      </c>
      <c r="I17" s="27">
        <f t="shared" si="14"/>
        <v>1</v>
      </c>
      <c r="J17" s="27">
        <f t="shared" si="14"/>
        <v>1</v>
      </c>
      <c r="K17" s="27">
        <f t="shared" si="14"/>
        <v>1</v>
      </c>
      <c r="L17" s="27">
        <f t="shared" si="14"/>
        <v>0</v>
      </c>
      <c r="M17" s="27">
        <f t="shared" si="14"/>
        <v>0</v>
      </c>
      <c r="N17" s="27">
        <f t="shared" si="14"/>
        <v>1</v>
      </c>
      <c r="O17" s="27">
        <f t="shared" si="14"/>
        <v>1</v>
      </c>
      <c r="P17" s="27">
        <f t="shared" si="14"/>
        <v>1</v>
      </c>
      <c r="Q17" s="27">
        <f t="shared" si="14"/>
        <v>1</v>
      </c>
      <c r="R17" s="27">
        <f t="shared" si="14"/>
        <v>1</v>
      </c>
      <c r="S17" s="27">
        <f t="shared" si="14"/>
        <v>0</v>
      </c>
      <c r="T17" s="27">
        <f t="shared" si="14"/>
        <v>0</v>
      </c>
      <c r="U17" s="27">
        <f t="shared" si="14"/>
        <v>1</v>
      </c>
      <c r="V17" s="27">
        <f t="shared" si="14"/>
        <v>1</v>
      </c>
      <c r="W17" s="27">
        <f t="shared" si="14"/>
        <v>1</v>
      </c>
      <c r="X17" s="27">
        <f t="shared" si="14"/>
        <v>1</v>
      </c>
      <c r="Y17" s="27">
        <f t="shared" si="14"/>
        <v>1</v>
      </c>
      <c r="Z17" s="27">
        <f t="shared" si="14"/>
        <v>0</v>
      </c>
      <c r="AA17" s="27">
        <f t="shared" si="14"/>
        <v>0</v>
      </c>
      <c r="AB17" s="27">
        <f t="shared" si="14"/>
        <v>1</v>
      </c>
      <c r="AC17" s="27">
        <f t="shared" si="14"/>
        <v>1</v>
      </c>
      <c r="AD17" s="27">
        <f t="shared" si="14"/>
        <v>1</v>
      </c>
      <c r="AE17" s="27">
        <f t="shared" si="14"/>
        <v>1</v>
      </c>
      <c r="AF17" s="27">
        <f t="shared" si="14"/>
        <v>1</v>
      </c>
      <c r="AG17" s="22"/>
      <c r="AH17" s="22"/>
      <c r="AI17" s="22"/>
      <c r="AJ17" s="22"/>
      <c r="AK17" s="22"/>
    </row>
    <row r="18">
      <c r="I18" s="28"/>
      <c r="J18" s="11"/>
      <c r="K18" s="68"/>
      <c r="L18" s="68"/>
      <c r="M18" s="68"/>
      <c r="N18" s="68"/>
      <c r="O18" s="68"/>
      <c r="P18" s="68"/>
      <c r="Q18" s="68"/>
      <c r="R18" s="11"/>
      <c r="S18" s="11"/>
      <c r="T18" s="11"/>
      <c r="U18" s="11"/>
      <c r="V18" s="43" t="s">
        <v>0</v>
      </c>
      <c r="W18" s="11"/>
      <c r="AG18" s="22"/>
      <c r="AH18" s="22"/>
      <c r="AI18" s="22"/>
      <c r="AJ18" s="22"/>
      <c r="AK18" s="22"/>
    </row>
    <row r="19">
      <c r="E19" s="29" t="s">
        <v>51</v>
      </c>
      <c r="F19" s="30"/>
      <c r="G19" s="30"/>
      <c r="H19" s="31"/>
      <c r="J19" s="13"/>
      <c r="K19" s="71"/>
      <c r="L19" s="71"/>
      <c r="M19" s="71"/>
      <c r="N19" s="71"/>
      <c r="O19" s="71"/>
      <c r="P19" s="71"/>
      <c r="Q19" s="71"/>
      <c r="R19" s="19"/>
      <c r="S19" s="70"/>
      <c r="T19" s="70"/>
      <c r="U19" s="70"/>
      <c r="V19" s="71"/>
      <c r="W19" s="71"/>
      <c r="X19" s="71"/>
      <c r="Y19" s="71"/>
      <c r="Z19" s="71"/>
      <c r="AA19" s="71"/>
      <c r="AB19" s="71"/>
      <c r="AG19" s="22"/>
      <c r="AH19" s="22"/>
      <c r="AI19" s="22"/>
      <c r="AJ19" s="22"/>
      <c r="AK19" s="22"/>
    </row>
    <row r="20">
      <c r="E20" s="33" t="s">
        <v>38</v>
      </c>
      <c r="F20" s="1" t="s">
        <v>52</v>
      </c>
      <c r="H20" s="34"/>
      <c r="K20" s="70"/>
      <c r="L20" s="70"/>
      <c r="M20" s="70"/>
      <c r="N20" s="70"/>
      <c r="O20" s="70"/>
      <c r="P20" s="70"/>
      <c r="Q20" s="70"/>
      <c r="R20" s="13"/>
      <c r="S20" s="60"/>
      <c r="T20" s="61"/>
      <c r="U20" s="61"/>
      <c r="V20" s="70"/>
      <c r="W20" s="70"/>
      <c r="X20" s="70" t="s">
        <v>122</v>
      </c>
      <c r="Y20" s="70"/>
      <c r="Z20" s="70"/>
      <c r="AA20" s="70"/>
      <c r="AB20" s="70"/>
      <c r="AG20" s="22"/>
      <c r="AH20" s="22"/>
      <c r="AI20" s="22"/>
      <c r="AJ20" s="22"/>
      <c r="AK20" s="22"/>
    </row>
    <row r="21">
      <c r="E21" s="33" t="s">
        <v>39</v>
      </c>
      <c r="F21" s="1" t="s">
        <v>53</v>
      </c>
      <c r="H21" s="34"/>
      <c r="J21" s="19"/>
      <c r="K21" s="60"/>
      <c r="L21" s="60"/>
      <c r="M21" s="61"/>
      <c r="N21" s="61"/>
      <c r="O21" s="61"/>
      <c r="P21" s="61"/>
      <c r="Q21" s="61"/>
      <c r="R21" s="13"/>
      <c r="S21" s="70"/>
      <c r="T21" s="70"/>
      <c r="U21" s="70"/>
      <c r="V21" s="60"/>
      <c r="W21" s="60"/>
      <c r="X21" s="60" t="s">
        <v>123</v>
      </c>
      <c r="Y21" s="60" t="s">
        <v>124</v>
      </c>
      <c r="Z21" s="60"/>
      <c r="AA21" s="61"/>
      <c r="AB21" s="61"/>
    </row>
    <row r="22">
      <c r="E22" s="33" t="s">
        <v>41</v>
      </c>
      <c r="F22" s="1" t="s">
        <v>54</v>
      </c>
      <c r="H22" s="34"/>
      <c r="J22" s="13"/>
      <c r="K22" s="70"/>
      <c r="L22" s="70"/>
      <c r="M22" s="70"/>
      <c r="N22" s="70"/>
      <c r="O22" s="70"/>
      <c r="P22" s="70"/>
      <c r="Q22" s="70"/>
      <c r="R22" s="13"/>
      <c r="S22" s="69"/>
      <c r="T22" s="69"/>
      <c r="U22" s="69"/>
      <c r="V22" s="70"/>
      <c r="W22" s="70"/>
      <c r="X22" s="88" t="s">
        <v>125</v>
      </c>
      <c r="Y22" s="88" t="s">
        <v>126</v>
      </c>
      <c r="Z22" s="70"/>
      <c r="AA22" s="70"/>
      <c r="AB22" s="70"/>
    </row>
    <row r="23">
      <c r="E23" s="33" t="s">
        <v>55</v>
      </c>
      <c r="F23" s="1" t="s">
        <v>56</v>
      </c>
      <c r="H23" s="34"/>
      <c r="I23" s="72"/>
      <c r="J23" s="13"/>
      <c r="K23" s="70"/>
      <c r="L23" s="70"/>
      <c r="M23" s="70"/>
      <c r="N23" s="70"/>
      <c r="O23" s="70"/>
      <c r="P23" s="70"/>
      <c r="Q23" s="70"/>
      <c r="R23" s="13"/>
      <c r="T23" s="20"/>
      <c r="U23" s="20"/>
      <c r="V23" s="20"/>
      <c r="W23" s="20"/>
      <c r="X23" s="13"/>
    </row>
    <row r="24">
      <c r="E24" s="33" t="s">
        <v>40</v>
      </c>
      <c r="F24" s="1" t="s">
        <v>57</v>
      </c>
      <c r="H24" s="34"/>
      <c r="I24" s="20"/>
      <c r="J24" s="13"/>
      <c r="K24" s="25"/>
      <c r="L24" s="25"/>
      <c r="M24" s="25"/>
      <c r="N24" s="25"/>
      <c r="O24" s="25"/>
      <c r="P24" s="25"/>
      <c r="Q24" s="25"/>
      <c r="T24" s="20"/>
      <c r="U24" s="20"/>
      <c r="V24" s="20"/>
      <c r="W24" s="20"/>
      <c r="X24" s="89" t="s">
        <v>127</v>
      </c>
    </row>
    <row r="25">
      <c r="E25" s="33" t="s">
        <v>58</v>
      </c>
      <c r="F25" s="1" t="s">
        <v>59</v>
      </c>
      <c r="H25" s="34"/>
      <c r="I25" s="20"/>
      <c r="J25" s="55"/>
      <c r="K25" s="25"/>
      <c r="L25" s="25"/>
      <c r="M25" s="25"/>
      <c r="N25" s="25"/>
      <c r="O25" s="25"/>
      <c r="P25" s="25"/>
      <c r="Q25" s="25"/>
      <c r="T25" s="20"/>
      <c r="U25" s="20"/>
      <c r="V25" s="20"/>
      <c r="W25" s="20"/>
    </row>
    <row r="26">
      <c r="E26" s="33" t="s">
        <v>60</v>
      </c>
      <c r="F26" s="1" t="s">
        <v>61</v>
      </c>
      <c r="H26" s="34"/>
      <c r="K26" s="25"/>
      <c r="L26" s="25"/>
      <c r="M26" s="25"/>
      <c r="N26" s="25"/>
      <c r="O26" s="20"/>
      <c r="P26" s="20"/>
      <c r="Q26" s="20"/>
    </row>
    <row r="27">
      <c r="E27" s="33" t="s">
        <v>44</v>
      </c>
      <c r="F27" s="1" t="s">
        <v>62</v>
      </c>
      <c r="H27" s="34"/>
    </row>
    <row r="28">
      <c r="E28" s="33" t="s">
        <v>63</v>
      </c>
      <c r="F28" s="1" t="s">
        <v>64</v>
      </c>
      <c r="H28" s="34"/>
    </row>
    <row r="29">
      <c r="E29" s="33" t="s">
        <v>65</v>
      </c>
      <c r="F29" s="1" t="s">
        <v>66</v>
      </c>
      <c r="H29" s="34"/>
    </row>
    <row r="30">
      <c r="E30" s="33" t="s">
        <v>46</v>
      </c>
      <c r="F30" s="1" t="s">
        <v>67</v>
      </c>
      <c r="H30" s="34"/>
    </row>
    <row r="31">
      <c r="E31" s="35" t="s">
        <v>68</v>
      </c>
      <c r="F31" s="36" t="s">
        <v>69</v>
      </c>
      <c r="G31" s="8"/>
      <c r="H31" s="37"/>
    </row>
    <row r="32">
      <c r="A32" s="6"/>
      <c r="B32" s="11"/>
      <c r="C32" s="11"/>
      <c r="D32" s="11"/>
      <c r="E32" s="11"/>
      <c r="F32" s="11"/>
      <c r="G32" s="11"/>
      <c r="H32" s="11"/>
    </row>
    <row r="33">
      <c r="A33" s="13"/>
      <c r="B33" s="90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</row>
    <row r="34">
      <c r="A34" s="13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</row>
    <row r="35">
      <c r="A35" s="13"/>
      <c r="B35" s="20"/>
      <c r="C35" s="20"/>
      <c r="D35" s="20"/>
      <c r="E35" s="20"/>
      <c r="F35" s="20"/>
      <c r="G35" s="20"/>
      <c r="H35" s="20"/>
    </row>
    <row r="36">
      <c r="A36" s="13"/>
      <c r="B36" s="20"/>
      <c r="C36" s="20"/>
      <c r="D36" s="20"/>
      <c r="E36" s="66"/>
      <c r="F36" s="66"/>
      <c r="G36" s="67"/>
      <c r="H36" s="67"/>
    </row>
    <row r="37">
      <c r="A37" s="13"/>
      <c r="B37" s="20"/>
      <c r="C37" s="20"/>
      <c r="D37" s="20"/>
      <c r="E37" s="20"/>
      <c r="F37" s="20"/>
      <c r="G37" s="20"/>
      <c r="H37" s="20"/>
    </row>
  </sheetData>
  <mergeCells count="16">
    <mergeCell ref="B1:AC3"/>
    <mergeCell ref="B13:AF13"/>
    <mergeCell ref="E19:H19"/>
    <mergeCell ref="F20:H20"/>
    <mergeCell ref="F21:H21"/>
    <mergeCell ref="F22:H22"/>
    <mergeCell ref="F23:H23"/>
    <mergeCell ref="F30:H30"/>
    <mergeCell ref="F31:H31"/>
    <mergeCell ref="F24:H24"/>
    <mergeCell ref="X24:AE26"/>
    <mergeCell ref="F25:H25"/>
    <mergeCell ref="F26:H26"/>
    <mergeCell ref="F27:H27"/>
    <mergeCell ref="F28:H28"/>
    <mergeCell ref="F29:H29"/>
  </mergeCells>
  <conditionalFormatting sqref="B9:H9 T23:W23">
    <cfRule type="cellIs" dxfId="0" priority="1" operator="equal">
      <formula>"X"</formula>
    </cfRule>
  </conditionalFormatting>
  <conditionalFormatting sqref="B9:H9 T23:W23">
    <cfRule type="cellIs" dxfId="1" priority="2" operator="equal">
      <formula>"D"</formula>
    </cfRule>
  </conditionalFormatting>
  <conditionalFormatting sqref="B9:H9 T23:W23">
    <cfRule type="cellIs" dxfId="2" priority="3" operator="equal">
      <formula>"N"</formula>
    </cfRule>
  </conditionalFormatting>
  <conditionalFormatting sqref="B9:H9 T23:W23">
    <cfRule type="cellIs" dxfId="3" priority="4" operator="equal">
      <formula>"OB"</formula>
    </cfRule>
  </conditionalFormatting>
  <conditionalFormatting sqref="B9:H9 T23:W23">
    <cfRule type="cellIs" dxfId="0" priority="5" operator="equal">
      <formula>"C"</formula>
    </cfRule>
  </conditionalFormatting>
  <conditionalFormatting sqref="B9:H9 T23:W23">
    <cfRule type="cellIs" dxfId="0" priority="6" operator="equal">
      <formula>"AL"</formula>
    </cfRule>
  </conditionalFormatting>
  <conditionalFormatting sqref="B9:H9 T23:W23">
    <cfRule type="cellIs" dxfId="4" priority="7" operator="equal">
      <formula>"UP"</formula>
    </cfRule>
  </conditionalFormatting>
  <conditionalFormatting sqref="B9:H9 T23:W23">
    <cfRule type="cellIs" dxfId="0" priority="8" operator="equal">
      <formula>"S"</formula>
    </cfRule>
  </conditionalFormatting>
  <conditionalFormatting sqref="B9:H9 T23:W23">
    <cfRule type="cellIs" dxfId="5" priority="9" operator="equal">
      <formula>"OC"</formula>
    </cfRule>
  </conditionalFormatting>
  <conditionalFormatting sqref="B9:H9 T23:W23">
    <cfRule type="cellIs" dxfId="6" priority="10" operator="equal">
      <formula>"SPV"</formula>
    </cfRule>
  </conditionalFormatting>
  <conditionalFormatting sqref="B9:H9 T23:W23">
    <cfRule type="cellIs" dxfId="7" priority="11" operator="equal">
      <formula>"INT"</formula>
    </cfRule>
  </conditionalFormatting>
  <conditionalFormatting sqref="B9:H9 T23:W23">
    <cfRule type="cellIs" dxfId="8" priority="12" operator="equal">
      <formula>"T"</formula>
    </cfRule>
  </conditionalFormatting>
  <conditionalFormatting sqref="B6:AF10 B14:AF15 E18:E31 K19:P26 Q19:Q23 S19:AB22 I23:I25 T24:W25 J25 Q26 B33:H37 I33:AF34 G39:J39">
    <cfRule type="cellIs" dxfId="0" priority="13" operator="equal">
      <formula>"X"</formula>
    </cfRule>
  </conditionalFormatting>
  <conditionalFormatting sqref="B6:AF10 B14:AF15 E18:E31 K19:P26 Q19:Q23 S19:AB22 I23:I25 T24:W25 J25 Q26 B33:H37 I33:AF34 G39:J39">
    <cfRule type="cellIs" dxfId="1" priority="14" operator="equal">
      <formula>"D"</formula>
    </cfRule>
  </conditionalFormatting>
  <conditionalFormatting sqref="B6:AF10 B14:AF15 E18:E31 K19:P26 Q19:Q23 S19:AB22 I23:I25 T24:W25 J25 Q26 B33:H37 I33:AF34 G39:J39">
    <cfRule type="cellIs" dxfId="2" priority="15" operator="equal">
      <formula>"N"</formula>
    </cfRule>
  </conditionalFormatting>
  <conditionalFormatting sqref="B6:AF10 B14:AF15 E18:E31 K19:P26 Q19:Q23 S19:AB22 I23:I25 T24:W25 J25 Q26 B33:H37 I33:AF34 G39:J39">
    <cfRule type="cellIs" dxfId="3" priority="16" operator="equal">
      <formula>"OB"</formula>
    </cfRule>
  </conditionalFormatting>
  <conditionalFormatting sqref="B6:AF10 B14:AF15 E18:E31 K19:P26 Q19:Q23 S19:AB22 I23:I25 T24:W25 J25 Q26 B33:H37 I33:AF34 G39:J39">
    <cfRule type="cellIs" dxfId="0" priority="17" operator="equal">
      <formula>"C"</formula>
    </cfRule>
  </conditionalFormatting>
  <conditionalFormatting sqref="B6:AF10 B14:AF15 E18:E31 K19:P26 Q19:Q23 S19:AB22 I23:I25 T24:W25 J25 Q26 B33:H37 I33:AF34 G39:J39">
    <cfRule type="cellIs" dxfId="0" priority="18" operator="equal">
      <formula>"AL"</formula>
    </cfRule>
  </conditionalFormatting>
  <conditionalFormatting sqref="B6:AF10 B14:AF15 E18:E31 K19:P26 Q19:Q23 S19:AB22 I23:I25 T24:W25 J25 Q26 B33:H37 I33:AF34 G39:J39">
    <cfRule type="cellIs" dxfId="4" priority="19" operator="equal">
      <formula>"UP"</formula>
    </cfRule>
  </conditionalFormatting>
  <conditionalFormatting sqref="B6:AF10 B14:AF15 E18:E31 K19:P26 Q19:Q23 S19:AB22 I23:I25 T24:W25 J25 Q26 B33:H37 I33:AF34 G39:J39">
    <cfRule type="cellIs" dxfId="0" priority="20" operator="equal">
      <formula>"S"</formula>
    </cfRule>
  </conditionalFormatting>
  <conditionalFormatting sqref="B6:AF10 B14:AF15 E18:E31 K19:P26 Q19:Q23 S19:AB22 I23:I25 T24:W25 J25 Q26 B33:H37 I33:AF34 G39:J39">
    <cfRule type="cellIs" dxfId="5" priority="21" operator="equal">
      <formula>"OC"</formula>
    </cfRule>
  </conditionalFormatting>
  <conditionalFormatting sqref="B6:AF10 B14:AF15 E18:E31 K19:P26 Q19:Q23 S19:AB22 I23:I25 T24:W25 J25 Q26 B33:H37 I33:AF34 G39:J39">
    <cfRule type="cellIs" dxfId="6" priority="22" operator="equal">
      <formula>"SPV"</formula>
    </cfRule>
  </conditionalFormatting>
  <conditionalFormatting sqref="B6:AF10 B14:AF15 E18:E31 K19:P26 Q19:Q23 S19:AB22 I23:I25 T24:W25 J25 Q26 B33:H37 I33:AF34 G39:J39">
    <cfRule type="cellIs" dxfId="7" priority="23" operator="equal">
      <formula>"INT"</formula>
    </cfRule>
  </conditionalFormatting>
  <conditionalFormatting sqref="B6:AF10 B14:AF15 K19:P25 Q19:Q23 S19:AB22 T24:W25 J25 B33:AF34">
    <cfRule type="cellIs" dxfId="8" priority="24" operator="equal">
      <formula>"T"</formula>
    </cfRule>
  </conditionalFormatting>
  <conditionalFormatting sqref="E30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91" t="s">
        <v>131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2</v>
      </c>
      <c r="H4" s="10" t="s">
        <v>3</v>
      </c>
      <c r="I4" s="10" t="s">
        <v>4</v>
      </c>
      <c r="J4" s="10" t="s">
        <v>5</v>
      </c>
      <c r="K4" s="10" t="s">
        <v>6</v>
      </c>
      <c r="L4" s="10" t="s">
        <v>7</v>
      </c>
      <c r="M4" s="10" t="s">
        <v>8</v>
      </c>
      <c r="N4" s="10" t="s">
        <v>2</v>
      </c>
      <c r="O4" s="10" t="s">
        <v>3</v>
      </c>
      <c r="P4" s="10" t="s">
        <v>4</v>
      </c>
      <c r="Q4" s="10" t="s">
        <v>5</v>
      </c>
      <c r="R4" s="10" t="s">
        <v>6</v>
      </c>
      <c r="S4" s="10" t="s">
        <v>7</v>
      </c>
      <c r="T4" s="10" t="s">
        <v>8</v>
      </c>
      <c r="U4" s="10" t="s">
        <v>2</v>
      </c>
      <c r="V4" s="10" t="s">
        <v>3</v>
      </c>
      <c r="W4" s="10" t="s">
        <v>4</v>
      </c>
      <c r="X4" s="10" t="s">
        <v>5</v>
      </c>
      <c r="Y4" s="10" t="s">
        <v>6</v>
      </c>
      <c r="Z4" s="10" t="s">
        <v>7</v>
      </c>
      <c r="AA4" s="10" t="s">
        <v>8</v>
      </c>
      <c r="AB4" s="10" t="s">
        <v>2</v>
      </c>
      <c r="AC4" s="10" t="s">
        <v>3</v>
      </c>
      <c r="AD4" s="10" t="s">
        <v>4</v>
      </c>
      <c r="AE4" s="10" t="s">
        <v>5</v>
      </c>
      <c r="AF4" s="10" t="s">
        <v>6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39" t="s">
        <v>130</v>
      </c>
      <c r="B6" s="71"/>
      <c r="C6" s="71"/>
      <c r="D6" s="71"/>
      <c r="E6" s="71"/>
      <c r="F6" s="71"/>
      <c r="G6" s="71" t="s">
        <v>38</v>
      </c>
      <c r="H6" s="71"/>
      <c r="I6" s="71"/>
      <c r="J6" s="71"/>
      <c r="K6" s="71"/>
      <c r="L6" s="71"/>
      <c r="M6" s="71"/>
      <c r="N6" s="71" t="s">
        <v>68</v>
      </c>
      <c r="O6" s="71" t="s">
        <v>68</v>
      </c>
      <c r="P6" s="71" t="s">
        <v>39</v>
      </c>
      <c r="Q6" s="71" t="s">
        <v>68</v>
      </c>
      <c r="R6" s="71" t="s">
        <v>68</v>
      </c>
      <c r="S6" s="71" t="s">
        <v>68</v>
      </c>
      <c r="T6" s="71"/>
      <c r="U6" s="71" t="s">
        <v>38</v>
      </c>
      <c r="V6" s="71" t="s">
        <v>68</v>
      </c>
      <c r="W6" s="71"/>
      <c r="X6" s="71"/>
      <c r="Y6" s="71" t="s">
        <v>68</v>
      </c>
      <c r="Z6" s="71"/>
      <c r="AA6" s="71" t="s">
        <v>38</v>
      </c>
      <c r="AB6" s="71"/>
      <c r="AC6" s="71" t="s">
        <v>39</v>
      </c>
      <c r="AD6" s="71"/>
      <c r="AE6" s="71"/>
      <c r="AF6" s="71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 t="s">
        <v>38</v>
      </c>
      <c r="C7" s="69" t="s">
        <v>40</v>
      </c>
      <c r="D7" s="69" t="s">
        <v>40</v>
      </c>
      <c r="E7" s="69" t="s">
        <v>38</v>
      </c>
      <c r="F7" s="69" t="s">
        <v>38</v>
      </c>
      <c r="G7" s="69" t="s">
        <v>40</v>
      </c>
      <c r="H7" s="69" t="s">
        <v>40</v>
      </c>
      <c r="I7" s="60" t="s">
        <v>39</v>
      </c>
      <c r="J7" s="60" t="s">
        <v>40</v>
      </c>
      <c r="K7" s="60" t="s">
        <v>39</v>
      </c>
      <c r="L7" s="60" t="s">
        <v>40</v>
      </c>
      <c r="M7" s="61" t="s">
        <v>39</v>
      </c>
      <c r="N7" s="61" t="s">
        <v>39</v>
      </c>
      <c r="O7" s="61" t="s">
        <v>40</v>
      </c>
      <c r="P7" s="70" t="s">
        <v>40</v>
      </c>
      <c r="Q7" s="70" t="s">
        <v>39</v>
      </c>
      <c r="R7" s="70" t="s">
        <v>39</v>
      </c>
      <c r="S7" s="70" t="s">
        <v>39</v>
      </c>
      <c r="T7" s="70" t="s">
        <v>39</v>
      </c>
      <c r="U7" s="70" t="s">
        <v>39</v>
      </c>
      <c r="V7" s="70" t="s">
        <v>40</v>
      </c>
      <c r="W7" s="71" t="s">
        <v>40</v>
      </c>
      <c r="X7" s="70" t="s">
        <v>38</v>
      </c>
      <c r="Y7" s="71" t="s">
        <v>38</v>
      </c>
      <c r="Z7" s="71" t="s">
        <v>40</v>
      </c>
      <c r="AA7" s="71" t="s">
        <v>40</v>
      </c>
      <c r="AB7" s="71" t="s">
        <v>38</v>
      </c>
      <c r="AC7" s="71" t="s">
        <v>38</v>
      </c>
      <c r="AD7" s="71" t="s">
        <v>40</v>
      </c>
      <c r="AE7" s="71" t="s">
        <v>40</v>
      </c>
      <c r="AF7" s="71" t="s">
        <v>40</v>
      </c>
      <c r="AG7" s="49">
        <f t="shared" ref="AG7:AG10" si="1">COUNTIF(B7:AF7,"D")</f>
        <v>7</v>
      </c>
      <c r="AH7" s="49">
        <f t="shared" ref="AH7:AH10" si="2">COUNTIF(B7:AF7,"N")</f>
        <v>9</v>
      </c>
      <c r="AI7" s="49">
        <f t="shared" ref="AI7:AI10" si="3">COUNTIF(B7:AF7,"X")</f>
        <v>15</v>
      </c>
      <c r="AJ7" s="49">
        <f t="shared" ref="AJ7:AJ10" si="4">AG7+AH7</f>
        <v>16</v>
      </c>
      <c r="AK7" s="84">
        <f t="shared" ref="AK7:AK10" si="5">(AJ7*12)/4.4</f>
        <v>43.63636364</v>
      </c>
    </row>
    <row r="8">
      <c r="A8" s="13" t="s">
        <v>84</v>
      </c>
      <c r="B8" s="69" t="s">
        <v>39</v>
      </c>
      <c r="C8" s="69" t="s">
        <v>40</v>
      </c>
      <c r="D8" s="69" t="s">
        <v>40</v>
      </c>
      <c r="E8" s="69" t="s">
        <v>39</v>
      </c>
      <c r="F8" s="69" t="s">
        <v>39</v>
      </c>
      <c r="G8" s="69" t="s">
        <v>40</v>
      </c>
      <c r="H8" s="69" t="s">
        <v>40</v>
      </c>
      <c r="I8" s="69" t="s">
        <v>38</v>
      </c>
      <c r="J8" s="69" t="s">
        <v>38</v>
      </c>
      <c r="K8" s="69" t="s">
        <v>40</v>
      </c>
      <c r="L8" s="69" t="s">
        <v>40</v>
      </c>
      <c r="M8" s="69" t="s">
        <v>38</v>
      </c>
      <c r="N8" s="69" t="s">
        <v>38</v>
      </c>
      <c r="O8" s="69" t="s">
        <v>40</v>
      </c>
      <c r="P8" s="60" t="s">
        <v>40</v>
      </c>
      <c r="Q8" s="60" t="s">
        <v>38</v>
      </c>
      <c r="R8" s="60" t="s">
        <v>38</v>
      </c>
      <c r="S8" s="60" t="s">
        <v>38</v>
      </c>
      <c r="T8" s="60" t="s">
        <v>38</v>
      </c>
      <c r="U8" s="61" t="s">
        <v>40</v>
      </c>
      <c r="V8" s="61" t="s">
        <v>39</v>
      </c>
      <c r="W8" s="70" t="s">
        <v>40</v>
      </c>
      <c r="X8" s="1" t="s">
        <v>40</v>
      </c>
      <c r="Y8" s="70" t="s">
        <v>39</v>
      </c>
      <c r="Z8" s="70" t="s">
        <v>40</v>
      </c>
      <c r="AA8" s="70" t="s">
        <v>40</v>
      </c>
      <c r="AB8" s="70" t="s">
        <v>39</v>
      </c>
      <c r="AC8" s="70" t="s">
        <v>60</v>
      </c>
      <c r="AD8" s="70" t="s">
        <v>40</v>
      </c>
      <c r="AE8" s="70" t="s">
        <v>40</v>
      </c>
      <c r="AF8" s="70" t="s">
        <v>39</v>
      </c>
      <c r="AG8" s="49">
        <f t="shared" si="1"/>
        <v>8</v>
      </c>
      <c r="AH8" s="49">
        <f t="shared" si="2"/>
        <v>7</v>
      </c>
      <c r="AI8" s="49">
        <f t="shared" si="3"/>
        <v>15</v>
      </c>
      <c r="AJ8" s="49">
        <f t="shared" si="4"/>
        <v>15</v>
      </c>
      <c r="AK8" s="84">
        <f t="shared" si="5"/>
        <v>40.90909091</v>
      </c>
    </row>
    <row r="9">
      <c r="A9" s="13" t="s">
        <v>73</v>
      </c>
      <c r="B9" s="60" t="s">
        <v>40</v>
      </c>
      <c r="C9" s="60" t="s">
        <v>39</v>
      </c>
      <c r="D9" s="60" t="s">
        <v>39</v>
      </c>
      <c r="E9" s="60" t="s">
        <v>40</v>
      </c>
      <c r="F9" s="60" t="s">
        <v>40</v>
      </c>
      <c r="G9" s="61" t="s">
        <v>39</v>
      </c>
      <c r="H9" s="61" t="s">
        <v>39</v>
      </c>
      <c r="I9" s="70" t="s">
        <v>40</v>
      </c>
      <c r="J9" s="70" t="s">
        <v>40</v>
      </c>
      <c r="K9" s="70" t="s">
        <v>38</v>
      </c>
      <c r="L9" s="70" t="s">
        <v>38</v>
      </c>
      <c r="M9" s="70" t="s">
        <v>40</v>
      </c>
      <c r="N9" s="70" t="s">
        <v>40</v>
      </c>
      <c r="O9" s="70" t="s">
        <v>38</v>
      </c>
      <c r="P9" s="70" t="s">
        <v>38</v>
      </c>
      <c r="Q9" s="70" t="s">
        <v>40</v>
      </c>
      <c r="R9" s="70" t="s">
        <v>39</v>
      </c>
      <c r="S9" s="70" t="s">
        <v>39</v>
      </c>
      <c r="T9" s="70" t="s">
        <v>39</v>
      </c>
      <c r="U9" s="70" t="s">
        <v>40</v>
      </c>
      <c r="V9" s="70" t="s">
        <v>38</v>
      </c>
      <c r="W9" s="60" t="s">
        <v>38</v>
      </c>
      <c r="X9" s="60" t="s">
        <v>40</v>
      </c>
      <c r="Y9" s="60" t="s">
        <v>40</v>
      </c>
      <c r="Z9" s="60" t="s">
        <v>38</v>
      </c>
      <c r="AA9" s="60" t="s">
        <v>60</v>
      </c>
      <c r="AB9" s="61" t="s">
        <v>40</v>
      </c>
      <c r="AC9" s="61" t="s">
        <v>40</v>
      </c>
      <c r="AD9" s="61" t="s">
        <v>39</v>
      </c>
      <c r="AE9" s="61" t="s">
        <v>39</v>
      </c>
      <c r="AF9" s="61" t="s">
        <v>40</v>
      </c>
      <c r="AG9" s="49">
        <f t="shared" si="1"/>
        <v>7</v>
      </c>
      <c r="AH9" s="49">
        <f t="shared" si="2"/>
        <v>9</v>
      </c>
      <c r="AI9" s="49">
        <f t="shared" si="3"/>
        <v>14</v>
      </c>
      <c r="AJ9" s="49">
        <f t="shared" si="4"/>
        <v>16</v>
      </c>
      <c r="AK9" s="84">
        <f t="shared" si="5"/>
        <v>43.63636364</v>
      </c>
    </row>
    <row r="10">
      <c r="A10" s="13" t="s">
        <v>48</v>
      </c>
      <c r="B10" s="69" t="s">
        <v>40</v>
      </c>
      <c r="C10" s="69" t="s">
        <v>38</v>
      </c>
      <c r="D10" s="69" t="s">
        <v>38</v>
      </c>
      <c r="E10" s="69" t="s">
        <v>40</v>
      </c>
      <c r="F10" s="69" t="s">
        <v>40</v>
      </c>
      <c r="G10" s="69" t="s">
        <v>40</v>
      </c>
      <c r="H10" s="69" t="s">
        <v>38</v>
      </c>
      <c r="I10" s="69" t="s">
        <v>40</v>
      </c>
      <c r="J10" s="69" t="s">
        <v>39</v>
      </c>
      <c r="K10" s="69" t="s">
        <v>40</v>
      </c>
      <c r="L10" s="69" t="s">
        <v>39</v>
      </c>
      <c r="M10" s="69" t="s">
        <v>40</v>
      </c>
      <c r="N10" s="69" t="s">
        <v>40</v>
      </c>
      <c r="O10" s="69" t="s">
        <v>39</v>
      </c>
      <c r="P10" s="69" t="s">
        <v>68</v>
      </c>
      <c r="Q10" s="69" t="s">
        <v>68</v>
      </c>
      <c r="R10" s="69" t="s">
        <v>68</v>
      </c>
      <c r="S10" s="69" t="s">
        <v>68</v>
      </c>
      <c r="T10" s="69" t="s">
        <v>68</v>
      </c>
      <c r="U10" s="69" t="s">
        <v>39</v>
      </c>
      <c r="V10" s="69" t="s">
        <v>68</v>
      </c>
      <c r="W10" s="70" t="s">
        <v>39</v>
      </c>
      <c r="X10" s="70" t="s">
        <v>39</v>
      </c>
      <c r="Y10" s="70" t="s">
        <v>40</v>
      </c>
      <c r="Z10" s="70" t="s">
        <v>39</v>
      </c>
      <c r="AA10" s="70" t="s">
        <v>39</v>
      </c>
      <c r="AB10" s="70" t="s">
        <v>40</v>
      </c>
      <c r="AC10" s="70" t="s">
        <v>40</v>
      </c>
      <c r="AD10" s="70" t="s">
        <v>38</v>
      </c>
      <c r="AE10" s="70" t="s">
        <v>38</v>
      </c>
      <c r="AF10" s="70" t="s">
        <v>38</v>
      </c>
      <c r="AG10" s="49">
        <f t="shared" si="1"/>
        <v>6</v>
      </c>
      <c r="AH10" s="49">
        <f t="shared" si="2"/>
        <v>8</v>
      </c>
      <c r="AI10" s="49">
        <f t="shared" si="3"/>
        <v>11</v>
      </c>
      <c r="AJ10" s="49">
        <f t="shared" si="4"/>
        <v>14</v>
      </c>
      <c r="AK10" s="84">
        <f t="shared" si="5"/>
        <v>38.18181818</v>
      </c>
    </row>
    <row r="11">
      <c r="A11" s="13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49"/>
      <c r="AH11" s="49"/>
      <c r="AI11" s="49"/>
      <c r="AJ11" s="49"/>
      <c r="AK11" s="84"/>
    </row>
    <row r="12">
      <c r="A12" s="23" t="s">
        <v>49</v>
      </c>
      <c r="B12" s="24">
        <f t="shared" ref="B12:AF12" si="6">COUNTIF(B6:B10,"D")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1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1</v>
      </c>
      <c r="AB12" s="24">
        <f t="shared" si="6"/>
        <v>1</v>
      </c>
      <c r="AC12" s="24">
        <f t="shared" si="6"/>
        <v>1</v>
      </c>
      <c r="AD12" s="24">
        <f t="shared" si="6"/>
        <v>1</v>
      </c>
      <c r="AE12" s="24">
        <f t="shared" si="6"/>
        <v>1</v>
      </c>
      <c r="AF12" s="24">
        <f t="shared" si="6"/>
        <v>1</v>
      </c>
      <c r="AJ12" s="49"/>
    </row>
    <row r="13">
      <c r="A13" s="26" t="s">
        <v>50</v>
      </c>
      <c r="B13" s="27">
        <f t="shared" ref="B13:AF13" si="7">COUNTIF(B6:B10,"N")</f>
        <v>1</v>
      </c>
      <c r="C13" s="27">
        <f t="shared" si="7"/>
        <v>1</v>
      </c>
      <c r="D13" s="27">
        <f t="shared" si="7"/>
        <v>1</v>
      </c>
      <c r="E13" s="27">
        <f t="shared" si="7"/>
        <v>1</v>
      </c>
      <c r="F13" s="27">
        <f t="shared" si="7"/>
        <v>1</v>
      </c>
      <c r="G13" s="27">
        <f t="shared" si="7"/>
        <v>1</v>
      </c>
      <c r="H13" s="27">
        <f t="shared" si="7"/>
        <v>1</v>
      </c>
      <c r="I13" s="27">
        <f t="shared" si="7"/>
        <v>1</v>
      </c>
      <c r="J13" s="27">
        <f t="shared" si="7"/>
        <v>1</v>
      </c>
      <c r="K13" s="27">
        <f t="shared" si="7"/>
        <v>1</v>
      </c>
      <c r="L13" s="27">
        <f t="shared" si="7"/>
        <v>1</v>
      </c>
      <c r="M13" s="27">
        <f t="shared" si="7"/>
        <v>1</v>
      </c>
      <c r="N13" s="27">
        <f t="shared" si="7"/>
        <v>1</v>
      </c>
      <c r="O13" s="27">
        <f t="shared" si="7"/>
        <v>1</v>
      </c>
      <c r="P13" s="27">
        <f t="shared" si="7"/>
        <v>1</v>
      </c>
      <c r="Q13" s="27">
        <f t="shared" si="7"/>
        <v>1</v>
      </c>
      <c r="R13" s="27">
        <f t="shared" si="7"/>
        <v>2</v>
      </c>
      <c r="S13" s="27">
        <f t="shared" si="7"/>
        <v>2</v>
      </c>
      <c r="T13" s="27">
        <f t="shared" si="7"/>
        <v>2</v>
      </c>
      <c r="U13" s="27">
        <f t="shared" si="7"/>
        <v>2</v>
      </c>
      <c r="V13" s="27">
        <f t="shared" si="7"/>
        <v>1</v>
      </c>
      <c r="W13" s="27">
        <f t="shared" si="7"/>
        <v>1</v>
      </c>
      <c r="X13" s="27">
        <f t="shared" si="7"/>
        <v>1</v>
      </c>
      <c r="Y13" s="27">
        <f t="shared" si="7"/>
        <v>1</v>
      </c>
      <c r="Z13" s="27">
        <f t="shared" si="7"/>
        <v>1</v>
      </c>
      <c r="AA13" s="27">
        <f t="shared" si="7"/>
        <v>1</v>
      </c>
      <c r="AB13" s="27">
        <f t="shared" si="7"/>
        <v>1</v>
      </c>
      <c r="AC13" s="27">
        <f t="shared" si="7"/>
        <v>1</v>
      </c>
      <c r="AD13" s="27">
        <f t="shared" si="7"/>
        <v>1</v>
      </c>
      <c r="AE13" s="27">
        <f t="shared" si="7"/>
        <v>1</v>
      </c>
      <c r="AF13" s="27">
        <f t="shared" si="7"/>
        <v>1</v>
      </c>
    </row>
    <row r="14">
      <c r="B14" s="85" t="s">
        <v>120</v>
      </c>
      <c r="AG14" s="44" t="s">
        <v>38</v>
      </c>
      <c r="AH14" s="45" t="s">
        <v>39</v>
      </c>
      <c r="AI14" s="46" t="s">
        <v>40</v>
      </c>
      <c r="AJ14" s="48" t="s">
        <v>42</v>
      </c>
      <c r="AK14" s="54" t="s">
        <v>76</v>
      </c>
    </row>
    <row r="15">
      <c r="A15" s="13" t="s">
        <v>104</v>
      </c>
      <c r="B15" s="69" t="s">
        <v>65</v>
      </c>
      <c r="C15" s="69" t="s">
        <v>65</v>
      </c>
      <c r="D15" s="69" t="s">
        <v>40</v>
      </c>
      <c r="E15" s="69" t="s">
        <v>39</v>
      </c>
      <c r="F15" s="69" t="s">
        <v>40</v>
      </c>
      <c r="G15" s="69" t="s">
        <v>39</v>
      </c>
      <c r="H15" s="69" t="s">
        <v>39</v>
      </c>
      <c r="I15" s="69" t="s">
        <v>39</v>
      </c>
      <c r="J15" s="69" t="s">
        <v>39</v>
      </c>
      <c r="K15" s="69" t="s">
        <v>39</v>
      </c>
      <c r="L15" s="69" t="s">
        <v>40</v>
      </c>
      <c r="M15" s="69" t="s">
        <v>40</v>
      </c>
      <c r="N15" s="69" t="s">
        <v>38</v>
      </c>
      <c r="O15" s="69" t="s">
        <v>38</v>
      </c>
      <c r="P15" s="69" t="s">
        <v>38</v>
      </c>
      <c r="Q15" s="69" t="s">
        <v>38</v>
      </c>
      <c r="R15" s="69" t="s">
        <v>38</v>
      </c>
      <c r="S15" s="69" t="s">
        <v>38</v>
      </c>
      <c r="T15" s="69" t="s">
        <v>40</v>
      </c>
      <c r="U15" s="69" t="s">
        <v>40</v>
      </c>
      <c r="V15" s="69" t="s">
        <v>44</v>
      </c>
      <c r="W15" s="69" t="s">
        <v>38</v>
      </c>
      <c r="X15" s="69" t="s">
        <v>38</v>
      </c>
      <c r="Y15" s="69" t="s">
        <v>38</v>
      </c>
      <c r="Z15" s="69" t="s">
        <v>40</v>
      </c>
      <c r="AA15" s="69" t="s">
        <v>40</v>
      </c>
      <c r="AB15" s="69" t="s">
        <v>39</v>
      </c>
      <c r="AC15" s="69" t="s">
        <v>39</v>
      </c>
      <c r="AD15" s="69" t="s">
        <v>39</v>
      </c>
      <c r="AE15" s="69" t="s">
        <v>39</v>
      </c>
      <c r="AF15" s="69" t="s">
        <v>39</v>
      </c>
      <c r="AG15" s="49">
        <f t="shared" ref="AG15:AG16" si="8">COUNTIF(B15:AF15,"D")</f>
        <v>9</v>
      </c>
      <c r="AH15" s="49">
        <f t="shared" ref="AH15:AH16" si="9">COUNTIF(B15:AF15,"N")</f>
        <v>11</v>
      </c>
      <c r="AI15" s="49">
        <f t="shared" ref="AI15:AI16" si="10">COUNTIF(B15:AF15,"X")</f>
        <v>8</v>
      </c>
      <c r="AJ15" s="49">
        <f t="shared" ref="AJ15:AJ16" si="11">AG15+AH15</f>
        <v>20</v>
      </c>
      <c r="AK15" s="84">
        <f t="shared" ref="AK15:AK16" si="12">(AJ15*10)/4</f>
        <v>50</v>
      </c>
    </row>
    <row r="16">
      <c r="A16" s="13" t="s">
        <v>121</v>
      </c>
      <c r="B16" s="69" t="s">
        <v>38</v>
      </c>
      <c r="C16" s="69" t="s">
        <v>38</v>
      </c>
      <c r="D16" s="69" t="s">
        <v>38</v>
      </c>
      <c r="E16" s="69" t="s">
        <v>40</v>
      </c>
      <c r="F16" s="69" t="s">
        <v>40</v>
      </c>
      <c r="G16" s="69" t="s">
        <v>38</v>
      </c>
      <c r="H16" s="69" t="s">
        <v>38</v>
      </c>
      <c r="I16" s="69" t="s">
        <v>38</v>
      </c>
      <c r="J16" s="69" t="s">
        <v>38</v>
      </c>
      <c r="K16" s="69" t="s">
        <v>40</v>
      </c>
      <c r="L16" s="69" t="s">
        <v>40</v>
      </c>
      <c r="M16" s="69" t="s">
        <v>40</v>
      </c>
      <c r="N16" s="69" t="s">
        <v>39</v>
      </c>
      <c r="O16" s="69" t="s">
        <v>39</v>
      </c>
      <c r="P16" s="69" t="s">
        <v>39</v>
      </c>
      <c r="Q16" s="69" t="s">
        <v>39</v>
      </c>
      <c r="R16" s="69" t="s">
        <v>39</v>
      </c>
      <c r="S16" s="69" t="s">
        <v>40</v>
      </c>
      <c r="T16" s="69" t="s">
        <v>40</v>
      </c>
      <c r="U16" s="69" t="s">
        <v>40</v>
      </c>
      <c r="V16" s="69" t="s">
        <v>39</v>
      </c>
      <c r="W16" s="69" t="s">
        <v>39</v>
      </c>
      <c r="X16" s="69" t="s">
        <v>39</v>
      </c>
      <c r="Y16" s="69" t="s">
        <v>39</v>
      </c>
      <c r="Z16" s="69" t="s">
        <v>40</v>
      </c>
      <c r="AA16" s="69" t="s">
        <v>40</v>
      </c>
      <c r="AB16" s="69" t="s">
        <v>38</v>
      </c>
      <c r="AC16" s="69" t="s">
        <v>38</v>
      </c>
      <c r="AD16" s="69" t="s">
        <v>38</v>
      </c>
      <c r="AE16" s="69" t="s">
        <v>38</v>
      </c>
      <c r="AF16" s="69" t="s">
        <v>38</v>
      </c>
      <c r="AG16" s="49">
        <f t="shared" si="8"/>
        <v>12</v>
      </c>
      <c r="AH16" s="49">
        <f t="shared" si="9"/>
        <v>9</v>
      </c>
      <c r="AI16" s="49">
        <f t="shared" si="10"/>
        <v>10</v>
      </c>
      <c r="AJ16" s="49">
        <f t="shared" si="11"/>
        <v>21</v>
      </c>
      <c r="AK16" s="84">
        <f t="shared" si="12"/>
        <v>52.5</v>
      </c>
    </row>
    <row r="17">
      <c r="A17" s="23" t="s">
        <v>49</v>
      </c>
      <c r="B17" s="24">
        <f t="shared" ref="B17:AF17" si="13">COUNTIF(B15:B16,"D")</f>
        <v>1</v>
      </c>
      <c r="C17" s="24">
        <f t="shared" si="13"/>
        <v>1</v>
      </c>
      <c r="D17" s="24">
        <f t="shared" si="13"/>
        <v>1</v>
      </c>
      <c r="E17" s="24">
        <f t="shared" si="13"/>
        <v>0</v>
      </c>
      <c r="F17" s="24">
        <f t="shared" si="13"/>
        <v>0</v>
      </c>
      <c r="G17" s="24">
        <f t="shared" si="13"/>
        <v>1</v>
      </c>
      <c r="H17" s="24">
        <f t="shared" si="13"/>
        <v>1</v>
      </c>
      <c r="I17" s="24">
        <f t="shared" si="13"/>
        <v>1</v>
      </c>
      <c r="J17" s="24">
        <f t="shared" si="13"/>
        <v>1</v>
      </c>
      <c r="K17" s="24">
        <f t="shared" si="13"/>
        <v>0</v>
      </c>
      <c r="L17" s="24">
        <f t="shared" si="13"/>
        <v>0</v>
      </c>
      <c r="M17" s="24">
        <f t="shared" si="13"/>
        <v>0</v>
      </c>
      <c r="N17" s="24">
        <f t="shared" si="13"/>
        <v>1</v>
      </c>
      <c r="O17" s="24">
        <f t="shared" si="13"/>
        <v>1</v>
      </c>
      <c r="P17" s="24">
        <f t="shared" si="13"/>
        <v>1</v>
      </c>
      <c r="Q17" s="24">
        <f t="shared" si="13"/>
        <v>1</v>
      </c>
      <c r="R17" s="24">
        <f t="shared" si="13"/>
        <v>1</v>
      </c>
      <c r="S17" s="24">
        <f t="shared" si="13"/>
        <v>1</v>
      </c>
      <c r="T17" s="24">
        <f t="shared" si="13"/>
        <v>0</v>
      </c>
      <c r="U17" s="24">
        <f t="shared" si="13"/>
        <v>0</v>
      </c>
      <c r="V17" s="24">
        <f t="shared" si="13"/>
        <v>0</v>
      </c>
      <c r="W17" s="24">
        <f t="shared" si="13"/>
        <v>1</v>
      </c>
      <c r="X17" s="24">
        <f t="shared" si="13"/>
        <v>1</v>
      </c>
      <c r="Y17" s="24">
        <f t="shared" si="13"/>
        <v>1</v>
      </c>
      <c r="Z17" s="24">
        <f t="shared" si="13"/>
        <v>0</v>
      </c>
      <c r="AA17" s="24">
        <f t="shared" si="13"/>
        <v>0</v>
      </c>
      <c r="AB17" s="24">
        <f t="shared" si="13"/>
        <v>1</v>
      </c>
      <c r="AC17" s="24">
        <f t="shared" si="13"/>
        <v>1</v>
      </c>
      <c r="AD17" s="24">
        <f t="shared" si="13"/>
        <v>1</v>
      </c>
      <c r="AE17" s="24">
        <f t="shared" si="13"/>
        <v>1</v>
      </c>
      <c r="AF17" s="24">
        <f t="shared" si="13"/>
        <v>1</v>
      </c>
      <c r="AG17" s="53"/>
      <c r="AH17" s="53"/>
      <c r="AI17" s="53"/>
      <c r="AJ17" s="53"/>
      <c r="AK17" s="53"/>
    </row>
    <row r="18">
      <c r="A18" s="26" t="s">
        <v>50</v>
      </c>
      <c r="B18" s="27">
        <f t="shared" ref="B18:AF18" si="14">COUNTIF(B15:B16,"N")</f>
        <v>0</v>
      </c>
      <c r="C18" s="27">
        <f t="shared" si="14"/>
        <v>0</v>
      </c>
      <c r="D18" s="27">
        <f t="shared" si="14"/>
        <v>0</v>
      </c>
      <c r="E18" s="27">
        <f t="shared" si="14"/>
        <v>1</v>
      </c>
      <c r="F18" s="27">
        <f t="shared" si="14"/>
        <v>0</v>
      </c>
      <c r="G18" s="27">
        <f t="shared" si="14"/>
        <v>1</v>
      </c>
      <c r="H18" s="27">
        <f t="shared" si="14"/>
        <v>1</v>
      </c>
      <c r="I18" s="27">
        <f t="shared" si="14"/>
        <v>1</v>
      </c>
      <c r="J18" s="27">
        <f t="shared" si="14"/>
        <v>1</v>
      </c>
      <c r="K18" s="27">
        <f t="shared" si="14"/>
        <v>1</v>
      </c>
      <c r="L18" s="27">
        <f t="shared" si="14"/>
        <v>0</v>
      </c>
      <c r="M18" s="27">
        <f t="shared" si="14"/>
        <v>0</v>
      </c>
      <c r="N18" s="27">
        <f t="shared" si="14"/>
        <v>1</v>
      </c>
      <c r="O18" s="27">
        <f t="shared" si="14"/>
        <v>1</v>
      </c>
      <c r="P18" s="27">
        <f t="shared" si="14"/>
        <v>1</v>
      </c>
      <c r="Q18" s="27">
        <f t="shared" si="14"/>
        <v>1</v>
      </c>
      <c r="R18" s="27">
        <f t="shared" si="14"/>
        <v>1</v>
      </c>
      <c r="S18" s="27">
        <f t="shared" si="14"/>
        <v>0</v>
      </c>
      <c r="T18" s="27">
        <f t="shared" si="14"/>
        <v>0</v>
      </c>
      <c r="U18" s="27">
        <f t="shared" si="14"/>
        <v>0</v>
      </c>
      <c r="V18" s="27">
        <f t="shared" si="14"/>
        <v>1</v>
      </c>
      <c r="W18" s="27">
        <f t="shared" si="14"/>
        <v>1</v>
      </c>
      <c r="X18" s="27">
        <f t="shared" si="14"/>
        <v>1</v>
      </c>
      <c r="Y18" s="27">
        <f t="shared" si="14"/>
        <v>1</v>
      </c>
      <c r="Z18" s="27">
        <f t="shared" si="14"/>
        <v>0</v>
      </c>
      <c r="AA18" s="27">
        <f t="shared" si="14"/>
        <v>0</v>
      </c>
      <c r="AB18" s="27">
        <f t="shared" si="14"/>
        <v>1</v>
      </c>
      <c r="AC18" s="27">
        <f t="shared" si="14"/>
        <v>1</v>
      </c>
      <c r="AD18" s="27">
        <f t="shared" si="14"/>
        <v>1</v>
      </c>
      <c r="AE18" s="27">
        <f t="shared" si="14"/>
        <v>1</v>
      </c>
      <c r="AF18" s="27">
        <f t="shared" si="14"/>
        <v>1</v>
      </c>
      <c r="AG18" s="22"/>
      <c r="AH18" s="22"/>
      <c r="AI18" s="22"/>
      <c r="AJ18" s="22"/>
      <c r="AK18" s="22"/>
    </row>
    <row r="19">
      <c r="I19" s="28"/>
      <c r="J19" s="11"/>
      <c r="K19" s="68"/>
      <c r="L19" s="68"/>
      <c r="M19" s="68"/>
      <c r="N19" s="68"/>
      <c r="O19" s="68"/>
      <c r="P19" s="68"/>
      <c r="Q19" s="68"/>
      <c r="R19" s="11"/>
      <c r="S19" s="11"/>
      <c r="T19" s="11"/>
      <c r="U19" s="11"/>
      <c r="V19" s="43" t="s">
        <v>0</v>
      </c>
      <c r="W19" s="11"/>
      <c r="AG19" s="22"/>
      <c r="AH19" s="22"/>
      <c r="AI19" s="22"/>
      <c r="AJ19" s="22"/>
      <c r="AK19" s="22"/>
    </row>
    <row r="20">
      <c r="E20" s="29" t="s">
        <v>51</v>
      </c>
      <c r="F20" s="30"/>
      <c r="G20" s="30"/>
      <c r="H20" s="31"/>
      <c r="J20" s="13"/>
      <c r="K20" s="71"/>
      <c r="L20" s="71"/>
      <c r="M20" s="71"/>
      <c r="N20" s="71"/>
      <c r="O20" s="71"/>
      <c r="P20" s="71"/>
      <c r="Q20" s="71"/>
      <c r="R20" s="19"/>
      <c r="S20" s="70"/>
      <c r="T20" s="70"/>
      <c r="U20" s="70"/>
      <c r="V20" s="71"/>
      <c r="W20" s="71"/>
      <c r="X20" s="71"/>
      <c r="Y20" s="71"/>
      <c r="Z20" s="71"/>
      <c r="AA20" s="71"/>
      <c r="AB20" s="71"/>
      <c r="AG20" s="22"/>
      <c r="AH20" s="22"/>
      <c r="AI20" s="22"/>
      <c r="AJ20" s="22"/>
      <c r="AK20" s="22"/>
    </row>
    <row r="21">
      <c r="E21" s="33" t="s">
        <v>38</v>
      </c>
      <c r="F21" s="1" t="s">
        <v>52</v>
      </c>
      <c r="H21" s="34"/>
      <c r="K21" s="70"/>
      <c r="L21" s="70"/>
      <c r="M21" s="70"/>
      <c r="N21" s="70"/>
      <c r="O21" s="70"/>
      <c r="P21" s="70"/>
      <c r="Q21" s="70"/>
      <c r="R21" s="13"/>
      <c r="S21" s="60"/>
      <c r="T21" s="61"/>
      <c r="U21" s="61"/>
      <c r="V21" s="70"/>
      <c r="W21" s="70"/>
      <c r="X21" s="70" t="s">
        <v>122</v>
      </c>
      <c r="Y21" s="70"/>
      <c r="Z21" s="70"/>
      <c r="AA21" s="70"/>
      <c r="AB21" s="70"/>
      <c r="AG21" s="22"/>
      <c r="AH21" s="22"/>
      <c r="AI21" s="22"/>
      <c r="AJ21" s="22"/>
      <c r="AK21" s="22"/>
    </row>
    <row r="22">
      <c r="E22" s="33" t="s">
        <v>39</v>
      </c>
      <c r="F22" s="1" t="s">
        <v>53</v>
      </c>
      <c r="H22" s="34"/>
      <c r="J22" s="19"/>
      <c r="K22" s="60"/>
      <c r="L22" s="60"/>
      <c r="M22" s="61"/>
      <c r="N22" s="61"/>
      <c r="O22" s="61"/>
      <c r="P22" s="61"/>
      <c r="Q22" s="61"/>
      <c r="R22" s="13"/>
      <c r="S22" s="70"/>
      <c r="T22" s="70"/>
      <c r="U22" s="70"/>
      <c r="V22" s="60"/>
      <c r="W22" s="60"/>
      <c r="X22" s="60" t="s">
        <v>123</v>
      </c>
      <c r="Y22" s="60" t="s">
        <v>124</v>
      </c>
      <c r="Z22" s="60"/>
      <c r="AA22" s="61"/>
      <c r="AB22" s="61"/>
    </row>
    <row r="23">
      <c r="E23" s="33" t="s">
        <v>41</v>
      </c>
      <c r="F23" s="1" t="s">
        <v>54</v>
      </c>
      <c r="H23" s="34"/>
      <c r="J23" s="13"/>
      <c r="K23" s="70"/>
      <c r="L23" s="70"/>
      <c r="M23" s="70"/>
      <c r="N23" s="70"/>
      <c r="O23" s="70"/>
      <c r="P23" s="70"/>
      <c r="Q23" s="70"/>
      <c r="R23" s="13"/>
      <c r="S23" s="69"/>
      <c r="T23" s="69"/>
      <c r="U23" s="69"/>
      <c r="V23" s="70"/>
      <c r="W23" s="70"/>
      <c r="X23" s="88" t="s">
        <v>125</v>
      </c>
      <c r="Y23" s="88" t="s">
        <v>126</v>
      </c>
      <c r="Z23" s="70"/>
      <c r="AA23" s="70"/>
      <c r="AB23" s="70"/>
    </row>
    <row r="24">
      <c r="E24" s="33" t="s">
        <v>55</v>
      </c>
      <c r="F24" s="1" t="s">
        <v>56</v>
      </c>
      <c r="H24" s="34"/>
      <c r="I24" s="72"/>
      <c r="J24" s="13"/>
      <c r="K24" s="70"/>
      <c r="L24" s="70"/>
      <c r="M24" s="70"/>
      <c r="N24" s="70"/>
      <c r="O24" s="70"/>
      <c r="P24" s="70"/>
      <c r="Q24" s="70"/>
      <c r="R24" s="13"/>
      <c r="T24" s="20"/>
      <c r="U24" s="20"/>
      <c r="V24" s="20"/>
      <c r="W24" s="20"/>
      <c r="X24" s="13"/>
    </row>
    <row r="25">
      <c r="E25" s="33" t="s">
        <v>40</v>
      </c>
      <c r="F25" s="1" t="s">
        <v>57</v>
      </c>
      <c r="H25" s="34"/>
      <c r="I25" s="20"/>
      <c r="J25" s="13"/>
      <c r="K25" s="25"/>
      <c r="L25" s="25"/>
      <c r="M25" s="25"/>
      <c r="N25" s="25"/>
      <c r="O25" s="25"/>
      <c r="P25" s="25"/>
      <c r="Q25" s="25"/>
      <c r="T25" s="20"/>
      <c r="U25" s="20"/>
      <c r="V25" s="20"/>
      <c r="W25" s="20"/>
      <c r="X25" s="89" t="s">
        <v>127</v>
      </c>
    </row>
    <row r="26">
      <c r="E26" s="33" t="s">
        <v>58</v>
      </c>
      <c r="F26" s="1" t="s">
        <v>59</v>
      </c>
      <c r="H26" s="34"/>
      <c r="I26" s="20"/>
      <c r="J26" s="55"/>
      <c r="K26" s="25"/>
      <c r="L26" s="25"/>
      <c r="M26" s="25"/>
      <c r="N26" s="25"/>
      <c r="O26" s="25"/>
      <c r="P26" s="25"/>
      <c r="Q26" s="25"/>
      <c r="T26" s="20"/>
      <c r="U26" s="20"/>
      <c r="V26" s="20"/>
      <c r="W26" s="20"/>
    </row>
    <row r="27">
      <c r="E27" s="33" t="s">
        <v>60</v>
      </c>
      <c r="F27" s="1" t="s">
        <v>61</v>
      </c>
      <c r="H27" s="34"/>
      <c r="K27" s="25"/>
      <c r="L27" s="25"/>
      <c r="M27" s="25"/>
      <c r="N27" s="25"/>
      <c r="O27" s="20"/>
      <c r="P27" s="20"/>
      <c r="Q27" s="20"/>
    </row>
    <row r="28">
      <c r="E28" s="33" t="s">
        <v>44</v>
      </c>
      <c r="F28" s="1" t="s">
        <v>62</v>
      </c>
      <c r="H28" s="34"/>
    </row>
    <row r="29">
      <c r="E29" s="33" t="s">
        <v>63</v>
      </c>
      <c r="F29" s="1" t="s">
        <v>64</v>
      </c>
      <c r="H29" s="34"/>
    </row>
    <row r="30">
      <c r="E30" s="33" t="s">
        <v>65</v>
      </c>
      <c r="F30" s="1" t="s">
        <v>66</v>
      </c>
      <c r="H30" s="34"/>
    </row>
    <row r="31">
      <c r="E31" s="33" t="s">
        <v>46</v>
      </c>
      <c r="F31" s="1" t="s">
        <v>67</v>
      </c>
      <c r="H31" s="34"/>
    </row>
    <row r="32">
      <c r="E32" s="35" t="s">
        <v>68</v>
      </c>
      <c r="F32" s="36" t="s">
        <v>69</v>
      </c>
      <c r="G32" s="8"/>
      <c r="H32" s="37"/>
    </row>
    <row r="33">
      <c r="A33" s="6"/>
      <c r="B33" s="11"/>
      <c r="C33" s="11"/>
      <c r="D33" s="11"/>
      <c r="E33" s="11"/>
      <c r="F33" s="11"/>
      <c r="G33" s="11"/>
      <c r="H33" s="11"/>
    </row>
    <row r="34">
      <c r="A34" s="6"/>
      <c r="B34" s="42" t="s">
        <v>4</v>
      </c>
      <c r="C34" s="10" t="s">
        <v>5</v>
      </c>
      <c r="D34" s="10" t="s">
        <v>6</v>
      </c>
      <c r="E34" s="10" t="s">
        <v>7</v>
      </c>
      <c r="F34" s="10" t="s">
        <v>8</v>
      </c>
      <c r="G34" s="10" t="s">
        <v>2</v>
      </c>
      <c r="H34" s="10" t="s">
        <v>3</v>
      </c>
      <c r="I34" s="10" t="s">
        <v>4</v>
      </c>
      <c r="J34" s="10" t="s">
        <v>5</v>
      </c>
      <c r="K34" s="10" t="s">
        <v>6</v>
      </c>
      <c r="L34" s="10" t="s">
        <v>7</v>
      </c>
      <c r="M34" s="10" t="s">
        <v>8</v>
      </c>
      <c r="N34" s="10" t="s">
        <v>2</v>
      </c>
      <c r="O34" s="10" t="s">
        <v>3</v>
      </c>
      <c r="P34" s="10" t="s">
        <v>4</v>
      </c>
      <c r="Q34" s="10" t="s">
        <v>5</v>
      </c>
      <c r="R34" s="10" t="s">
        <v>6</v>
      </c>
      <c r="S34" s="10" t="s">
        <v>7</v>
      </c>
      <c r="T34" s="10" t="s">
        <v>8</v>
      </c>
      <c r="U34" s="10" t="s">
        <v>2</v>
      </c>
      <c r="V34" s="10" t="s">
        <v>3</v>
      </c>
      <c r="W34" s="10" t="s">
        <v>4</v>
      </c>
      <c r="X34" s="10" t="s">
        <v>5</v>
      </c>
      <c r="Y34" s="10" t="s">
        <v>6</v>
      </c>
      <c r="Z34" s="10" t="s">
        <v>7</v>
      </c>
      <c r="AA34" s="10" t="s">
        <v>8</v>
      </c>
      <c r="AB34" s="10" t="s">
        <v>2</v>
      </c>
      <c r="AC34" s="10" t="s">
        <v>3</v>
      </c>
      <c r="AD34" s="10" t="s">
        <v>4</v>
      </c>
      <c r="AE34" s="10" t="s">
        <v>5</v>
      </c>
      <c r="AF34" s="10" t="s">
        <v>6</v>
      </c>
      <c r="AG34" s="11"/>
      <c r="AH34" s="11"/>
      <c r="AI34" s="11"/>
      <c r="AJ34" s="11"/>
      <c r="AK34" s="11"/>
    </row>
    <row r="35">
      <c r="A35" s="12"/>
      <c r="B35" s="13" t="s">
        <v>71</v>
      </c>
      <c r="C35" s="13" t="s">
        <v>75</v>
      </c>
      <c r="D35" s="13" t="s">
        <v>10</v>
      </c>
      <c r="E35" s="13" t="s">
        <v>11</v>
      </c>
      <c r="F35" s="13" t="s">
        <v>12</v>
      </c>
      <c r="G35" s="13" t="s">
        <v>13</v>
      </c>
      <c r="H35" s="13" t="s">
        <v>14</v>
      </c>
      <c r="I35" s="13" t="s">
        <v>15</v>
      </c>
      <c r="J35" s="13" t="s">
        <v>16</v>
      </c>
      <c r="K35" s="13" t="s">
        <v>17</v>
      </c>
      <c r="L35" s="13" t="s">
        <v>18</v>
      </c>
      <c r="M35" s="13" t="s">
        <v>19</v>
      </c>
      <c r="N35" s="13" t="s">
        <v>20</v>
      </c>
      <c r="O35" s="13" t="s">
        <v>21</v>
      </c>
      <c r="P35" s="13" t="s">
        <v>22</v>
      </c>
      <c r="Q35" s="13" t="s">
        <v>23</v>
      </c>
      <c r="R35" s="13" t="s">
        <v>24</v>
      </c>
      <c r="S35" s="13" t="s">
        <v>25</v>
      </c>
      <c r="T35" s="13" t="s">
        <v>26</v>
      </c>
      <c r="U35" s="13" t="s">
        <v>27</v>
      </c>
      <c r="V35" s="13" t="s">
        <v>28</v>
      </c>
      <c r="W35" s="13" t="s">
        <v>29</v>
      </c>
      <c r="X35" s="13" t="s">
        <v>30</v>
      </c>
      <c r="Y35" s="13" t="s">
        <v>31</v>
      </c>
      <c r="Z35" s="13" t="s">
        <v>32</v>
      </c>
      <c r="AA35" s="13" t="s">
        <v>33</v>
      </c>
      <c r="AB35" s="13" t="s">
        <v>34</v>
      </c>
      <c r="AC35" s="13" t="s">
        <v>35</v>
      </c>
      <c r="AD35" s="13" t="s">
        <v>36</v>
      </c>
      <c r="AE35" s="13" t="s">
        <v>37</v>
      </c>
      <c r="AF35" s="13" t="s">
        <v>70</v>
      </c>
      <c r="AG35" s="13"/>
      <c r="AH35" s="13"/>
      <c r="AI35" s="13"/>
      <c r="AJ35" s="13"/>
      <c r="AK35" s="13"/>
    </row>
    <row r="36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44" t="s">
        <v>38</v>
      </c>
      <c r="AH36" s="45" t="s">
        <v>39</v>
      </c>
      <c r="AI36" s="46" t="s">
        <v>40</v>
      </c>
      <c r="AJ36" s="48" t="s">
        <v>42</v>
      </c>
      <c r="AK36" s="54" t="s">
        <v>76</v>
      </c>
    </row>
    <row r="37">
      <c r="A37" s="19" t="s">
        <v>132</v>
      </c>
      <c r="B37" s="69"/>
      <c r="C37" s="69"/>
      <c r="D37" s="69"/>
      <c r="E37" s="69"/>
      <c r="F37" s="69"/>
      <c r="G37" s="69"/>
      <c r="H37" s="69"/>
      <c r="I37" s="60"/>
      <c r="J37" s="60"/>
      <c r="K37" s="60"/>
      <c r="L37" s="60"/>
      <c r="M37" s="61"/>
      <c r="N37" s="61"/>
      <c r="O37" s="61"/>
      <c r="P37" s="70"/>
      <c r="Q37" s="70"/>
      <c r="R37" s="71" t="s">
        <v>38</v>
      </c>
      <c r="S37" s="71" t="s">
        <v>38</v>
      </c>
      <c r="T37" s="71" t="s">
        <v>38</v>
      </c>
      <c r="U37" s="70"/>
      <c r="V37" s="70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49">
        <f t="shared" ref="AG37:AG40" si="15">COUNTIF(B37:AF37,"D")</f>
        <v>3</v>
      </c>
      <c r="AH37" s="49">
        <f t="shared" ref="AH37:AH40" si="16">COUNTIF(B37:AF37,"N")</f>
        <v>0</v>
      </c>
      <c r="AI37" s="49">
        <f t="shared" ref="AI37:AI40" si="17">COUNTIF(B37:AF37,"X")</f>
        <v>0</v>
      </c>
      <c r="AJ37" s="49">
        <f t="shared" ref="AJ37:AJ40" si="18">AG37+AH37</f>
        <v>3</v>
      </c>
      <c r="AK37" s="84">
        <f t="shared" ref="AK37:AK40" si="19">(AJ37*12)/4.4</f>
        <v>8.181818182</v>
      </c>
    </row>
    <row r="38">
      <c r="A38" s="19" t="s">
        <v>133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0"/>
      <c r="Q38" s="60"/>
      <c r="R38" s="70" t="s">
        <v>39</v>
      </c>
      <c r="S38" s="70" t="s">
        <v>39</v>
      </c>
      <c r="T38" s="70" t="s">
        <v>39</v>
      </c>
      <c r="U38" s="61"/>
      <c r="V38" s="61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49">
        <f t="shared" si="15"/>
        <v>0</v>
      </c>
      <c r="AH38" s="49">
        <f t="shared" si="16"/>
        <v>3</v>
      </c>
      <c r="AI38" s="49">
        <f t="shared" si="17"/>
        <v>0</v>
      </c>
      <c r="AJ38" s="49">
        <f t="shared" si="18"/>
        <v>3</v>
      </c>
      <c r="AK38" s="84">
        <f t="shared" si="19"/>
        <v>8.181818182</v>
      </c>
    </row>
    <row r="39">
      <c r="A39" s="13" t="s">
        <v>134</v>
      </c>
      <c r="B39" s="60"/>
      <c r="C39" s="60"/>
      <c r="D39" s="60"/>
      <c r="E39" s="60"/>
      <c r="F39" s="60"/>
      <c r="G39" s="61"/>
      <c r="H39" s="61"/>
      <c r="I39" s="70"/>
      <c r="J39" s="70"/>
      <c r="K39" s="70"/>
      <c r="L39" s="70"/>
      <c r="M39" s="70"/>
      <c r="N39" s="70"/>
      <c r="O39" s="70"/>
      <c r="P39" s="70"/>
      <c r="Q39" s="70"/>
      <c r="R39" s="60" t="s">
        <v>39</v>
      </c>
      <c r="S39" s="60" t="s">
        <v>39</v>
      </c>
      <c r="T39" s="60" t="s">
        <v>39</v>
      </c>
      <c r="U39" s="70"/>
      <c r="V39" s="70"/>
      <c r="W39" s="60"/>
      <c r="X39" s="60"/>
      <c r="Y39" s="60"/>
      <c r="Z39" s="60"/>
      <c r="AA39" s="60"/>
      <c r="AB39" s="61"/>
      <c r="AC39" s="61"/>
      <c r="AD39" s="61"/>
      <c r="AE39" s="61"/>
      <c r="AF39" s="61"/>
      <c r="AG39" s="49">
        <f t="shared" si="15"/>
        <v>0</v>
      </c>
      <c r="AH39" s="49">
        <f t="shared" si="16"/>
        <v>3</v>
      </c>
      <c r="AI39" s="49">
        <f t="shared" si="17"/>
        <v>0</v>
      </c>
      <c r="AJ39" s="49">
        <f t="shared" si="18"/>
        <v>3</v>
      </c>
      <c r="AK39" s="84">
        <f t="shared" si="19"/>
        <v>8.181818182</v>
      </c>
    </row>
    <row r="40">
      <c r="A40" s="13" t="s">
        <v>135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70" t="s">
        <v>38</v>
      </c>
      <c r="S40" s="70" t="s">
        <v>38</v>
      </c>
      <c r="T40" s="70" t="s">
        <v>38</v>
      </c>
      <c r="U40" s="69"/>
      <c r="V40" s="69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49">
        <f t="shared" si="15"/>
        <v>3</v>
      </c>
      <c r="AH40" s="49">
        <f t="shared" si="16"/>
        <v>0</v>
      </c>
      <c r="AI40" s="49">
        <f t="shared" si="17"/>
        <v>0</v>
      </c>
      <c r="AJ40" s="49">
        <f t="shared" si="18"/>
        <v>3</v>
      </c>
      <c r="AK40" s="84">
        <f t="shared" si="19"/>
        <v>8.181818182</v>
      </c>
    </row>
    <row r="41">
      <c r="A41" s="23" t="s">
        <v>49</v>
      </c>
      <c r="B41" s="24">
        <f t="shared" ref="B41:Q41" si="20">COUNTIF(B36:B40,"D")</f>
        <v>0</v>
      </c>
      <c r="C41" s="24">
        <f t="shared" si="20"/>
        <v>0</v>
      </c>
      <c r="D41" s="24">
        <f t="shared" si="20"/>
        <v>0</v>
      </c>
      <c r="E41" s="24">
        <f t="shared" si="20"/>
        <v>0</v>
      </c>
      <c r="F41" s="24">
        <f t="shared" si="20"/>
        <v>0</v>
      </c>
      <c r="G41" s="24">
        <f t="shared" si="20"/>
        <v>0</v>
      </c>
      <c r="H41" s="24">
        <f t="shared" si="20"/>
        <v>0</v>
      </c>
      <c r="I41" s="24">
        <f t="shared" si="20"/>
        <v>0</v>
      </c>
      <c r="J41" s="24">
        <f t="shared" si="20"/>
        <v>0</v>
      </c>
      <c r="K41" s="24">
        <f t="shared" si="20"/>
        <v>0</v>
      </c>
      <c r="L41" s="24">
        <f t="shared" si="20"/>
        <v>0</v>
      </c>
      <c r="M41" s="24">
        <f t="shared" si="20"/>
        <v>0</v>
      </c>
      <c r="N41" s="24">
        <f t="shared" si="20"/>
        <v>0</v>
      </c>
      <c r="O41" s="24">
        <f t="shared" si="20"/>
        <v>0</v>
      </c>
      <c r="P41" s="24">
        <f t="shared" si="20"/>
        <v>0</v>
      </c>
      <c r="Q41" s="24">
        <f t="shared" si="20"/>
        <v>0</v>
      </c>
      <c r="R41" s="24">
        <f t="shared" ref="R41:T41" si="21">COUNTIF(R37:R40,"D")</f>
        <v>2</v>
      </c>
      <c r="S41" s="24">
        <f t="shared" si="21"/>
        <v>2</v>
      </c>
      <c r="T41" s="24">
        <f t="shared" si="21"/>
        <v>2</v>
      </c>
      <c r="U41" s="24">
        <f t="shared" ref="U41:AF41" si="22">COUNTIF(U36:U40,"D")</f>
        <v>0</v>
      </c>
      <c r="V41" s="24">
        <f t="shared" si="22"/>
        <v>0</v>
      </c>
      <c r="W41" s="24">
        <f t="shared" si="22"/>
        <v>0</v>
      </c>
      <c r="X41" s="24">
        <f t="shared" si="22"/>
        <v>0</v>
      </c>
      <c r="Y41" s="24">
        <f t="shared" si="22"/>
        <v>0</v>
      </c>
      <c r="Z41" s="24">
        <f t="shared" si="22"/>
        <v>0</v>
      </c>
      <c r="AA41" s="24">
        <f t="shared" si="22"/>
        <v>0</v>
      </c>
      <c r="AB41" s="24">
        <f t="shared" si="22"/>
        <v>0</v>
      </c>
      <c r="AC41" s="24">
        <f t="shared" si="22"/>
        <v>0</v>
      </c>
      <c r="AD41" s="24">
        <f t="shared" si="22"/>
        <v>0</v>
      </c>
      <c r="AE41" s="24">
        <f t="shared" si="22"/>
        <v>0</v>
      </c>
      <c r="AF41" s="24">
        <f t="shared" si="22"/>
        <v>0</v>
      </c>
      <c r="AJ41" s="49"/>
    </row>
    <row r="42">
      <c r="A42" s="26" t="s">
        <v>50</v>
      </c>
      <c r="B42" s="27">
        <f t="shared" ref="B42:Q42" si="23">COUNTIF(B36:B40,"N")</f>
        <v>0</v>
      </c>
      <c r="C42" s="27">
        <f t="shared" si="23"/>
        <v>0</v>
      </c>
      <c r="D42" s="27">
        <f t="shared" si="23"/>
        <v>0</v>
      </c>
      <c r="E42" s="27">
        <f t="shared" si="23"/>
        <v>0</v>
      </c>
      <c r="F42" s="27">
        <f t="shared" si="23"/>
        <v>0</v>
      </c>
      <c r="G42" s="27">
        <f t="shared" si="23"/>
        <v>0</v>
      </c>
      <c r="H42" s="27">
        <f t="shared" si="23"/>
        <v>0</v>
      </c>
      <c r="I42" s="27">
        <f t="shared" si="23"/>
        <v>0</v>
      </c>
      <c r="J42" s="27">
        <f t="shared" si="23"/>
        <v>0</v>
      </c>
      <c r="K42" s="27">
        <f t="shared" si="23"/>
        <v>0</v>
      </c>
      <c r="L42" s="27">
        <f t="shared" si="23"/>
        <v>0</v>
      </c>
      <c r="M42" s="27">
        <f t="shared" si="23"/>
        <v>0</v>
      </c>
      <c r="N42" s="27">
        <f t="shared" si="23"/>
        <v>0</v>
      </c>
      <c r="O42" s="27">
        <f t="shared" si="23"/>
        <v>0</v>
      </c>
      <c r="P42" s="27">
        <f t="shared" si="23"/>
        <v>0</v>
      </c>
      <c r="Q42" s="27">
        <f t="shared" si="23"/>
        <v>0</v>
      </c>
      <c r="R42" s="27">
        <f t="shared" ref="R42:T42" si="24">COUNTIF(R37:R40,"N")</f>
        <v>2</v>
      </c>
      <c r="S42" s="27">
        <f t="shared" si="24"/>
        <v>2</v>
      </c>
      <c r="T42" s="27">
        <f t="shared" si="24"/>
        <v>2</v>
      </c>
      <c r="U42" s="27">
        <f t="shared" ref="U42:AF42" si="25">COUNTIF(U36:U40,"N")</f>
        <v>0</v>
      </c>
      <c r="V42" s="27">
        <f t="shared" si="25"/>
        <v>0</v>
      </c>
      <c r="W42" s="27">
        <f t="shared" si="25"/>
        <v>0</v>
      </c>
      <c r="X42" s="27">
        <f t="shared" si="25"/>
        <v>0</v>
      </c>
      <c r="Y42" s="27">
        <f t="shared" si="25"/>
        <v>0</v>
      </c>
      <c r="Z42" s="27">
        <f t="shared" si="25"/>
        <v>0</v>
      </c>
      <c r="AA42" s="27">
        <f t="shared" si="25"/>
        <v>0</v>
      </c>
      <c r="AB42" s="27">
        <f t="shared" si="25"/>
        <v>0</v>
      </c>
      <c r="AC42" s="27">
        <f t="shared" si="25"/>
        <v>0</v>
      </c>
      <c r="AD42" s="27">
        <f t="shared" si="25"/>
        <v>0</v>
      </c>
      <c r="AE42" s="27">
        <f t="shared" si="25"/>
        <v>0</v>
      </c>
      <c r="AF42" s="27">
        <f t="shared" si="25"/>
        <v>0</v>
      </c>
    </row>
  </sheetData>
  <mergeCells count="16">
    <mergeCell ref="B1:AC3"/>
    <mergeCell ref="B14:AF14"/>
    <mergeCell ref="E20:H20"/>
    <mergeCell ref="F21:H21"/>
    <mergeCell ref="F22:H22"/>
    <mergeCell ref="F23:H23"/>
    <mergeCell ref="F24:H24"/>
    <mergeCell ref="F31:H31"/>
    <mergeCell ref="F32:H32"/>
    <mergeCell ref="F25:H25"/>
    <mergeCell ref="X25:AE27"/>
    <mergeCell ref="F26:H26"/>
    <mergeCell ref="F27:H27"/>
    <mergeCell ref="F28:H28"/>
    <mergeCell ref="F29:H29"/>
    <mergeCell ref="F30:H30"/>
  </mergeCells>
  <conditionalFormatting sqref="B9:H9 T24:W24 B39:H39">
    <cfRule type="cellIs" dxfId="0" priority="1" operator="equal">
      <formula>"X"</formula>
    </cfRule>
  </conditionalFormatting>
  <conditionalFormatting sqref="B9:H9 T24:W24 B39:H39">
    <cfRule type="cellIs" dxfId="1" priority="2" operator="equal">
      <formula>"D"</formula>
    </cfRule>
  </conditionalFormatting>
  <conditionalFormatting sqref="B9:H9 T24:W24 B39:H39">
    <cfRule type="cellIs" dxfId="2" priority="3" operator="equal">
      <formula>"N"</formula>
    </cfRule>
  </conditionalFormatting>
  <conditionalFormatting sqref="B9:H9 T24:W24 B39:H39">
    <cfRule type="cellIs" dxfId="3" priority="4" operator="equal">
      <formula>"OB"</formula>
    </cfRule>
  </conditionalFormatting>
  <conditionalFormatting sqref="B9:H9 T24:W24 B39:H39">
    <cfRule type="cellIs" dxfId="0" priority="5" operator="equal">
      <formula>"C"</formula>
    </cfRule>
  </conditionalFormatting>
  <conditionalFormatting sqref="B9:H9 T24:W24 B39:H39">
    <cfRule type="cellIs" dxfId="0" priority="6" operator="equal">
      <formula>"AL"</formula>
    </cfRule>
  </conditionalFormatting>
  <conditionalFormatting sqref="B9:H9 T24:W24 B39:H39">
    <cfRule type="cellIs" dxfId="4" priority="7" operator="equal">
      <formula>"UP"</formula>
    </cfRule>
  </conditionalFormatting>
  <conditionalFormatting sqref="B9:H9 T24:W24 B39:H39">
    <cfRule type="cellIs" dxfId="0" priority="8" operator="equal">
      <formula>"S"</formula>
    </cfRule>
  </conditionalFormatting>
  <conditionalFormatting sqref="B9:H9 T24:W24 B39:H39">
    <cfRule type="cellIs" dxfId="5" priority="9" operator="equal">
      <formula>"OC"</formula>
    </cfRule>
  </conditionalFormatting>
  <conditionalFormatting sqref="B9:H9 T24:W24 B39:H39">
    <cfRule type="cellIs" dxfId="6" priority="10" operator="equal">
      <formula>"SPV"</formula>
    </cfRule>
  </conditionalFormatting>
  <conditionalFormatting sqref="B9:H9 T24:W24 B39:H39">
    <cfRule type="cellIs" dxfId="7" priority="11" operator="equal">
      <formula>"INT"</formula>
    </cfRule>
  </conditionalFormatting>
  <conditionalFormatting sqref="B9:H9 T24:W24 B39:H39">
    <cfRule type="cellIs" dxfId="8" priority="12" operator="equal">
      <formula>"T"</formula>
    </cfRule>
  </conditionalFormatting>
  <conditionalFormatting sqref="B6:AF11 B15:AF16 E19:E32 K20:P27 Q20:Q24 S20:AB23 I24:I26 T25:W26 J26 Q27 B34:AF40">
    <cfRule type="cellIs" dxfId="0" priority="13" operator="equal">
      <formula>"X"</formula>
    </cfRule>
  </conditionalFormatting>
  <conditionalFormatting sqref="B6:AF11 B15:AF16 E19:E32 K20:P27 Q20:Q24 S20:AB23 I24:I26 T25:W26 J26 Q27 B34:AF40">
    <cfRule type="cellIs" dxfId="1" priority="14" operator="equal">
      <formula>"D"</formula>
    </cfRule>
  </conditionalFormatting>
  <conditionalFormatting sqref="B6:AF11 B15:AF16 E19:E32 K20:P27 Q20:Q24 S20:AB23 I24:I26 T25:W26 J26 Q27 B34:AF40">
    <cfRule type="cellIs" dxfId="2" priority="15" operator="equal">
      <formula>"N"</formula>
    </cfRule>
  </conditionalFormatting>
  <conditionalFormatting sqref="B6:AF11 B15:AF16 E19:E32 K20:P27 Q20:Q24 S20:AB23 I24:I26 T25:W26 J26 Q27 B34:AF40">
    <cfRule type="cellIs" dxfId="3" priority="16" operator="equal">
      <formula>"OB"</formula>
    </cfRule>
  </conditionalFormatting>
  <conditionalFormatting sqref="B6:AF11 B15:AF16 E19:E32 K20:P27 Q20:Q24 S20:AB23 I24:I26 T25:W26 J26 Q27 B34:AF40">
    <cfRule type="cellIs" dxfId="0" priority="17" operator="equal">
      <formula>"C"</formula>
    </cfRule>
  </conditionalFormatting>
  <conditionalFormatting sqref="B6:AF11 B15:AF16 E19:E32 K20:P27 Q20:Q24 S20:AB23 I24:I26 T25:W26 J26 Q27 B34:AF40">
    <cfRule type="cellIs" dxfId="0" priority="18" operator="equal">
      <formula>"AL"</formula>
    </cfRule>
  </conditionalFormatting>
  <conditionalFormatting sqref="B6:AF11 B15:AF16 E19:E32 K20:P27 Q20:Q24 S20:AB23 I24:I26 T25:W26 J26 Q27 B34:AF40">
    <cfRule type="cellIs" dxfId="4" priority="19" operator="equal">
      <formula>"UP"</formula>
    </cfRule>
  </conditionalFormatting>
  <conditionalFormatting sqref="B6:AF11 B15:AF16 E19:E32 K20:P27 Q20:Q24 S20:AB23 I24:I26 T25:W26 J26 Q27 B34:AF40">
    <cfRule type="cellIs" dxfId="0" priority="20" operator="equal">
      <formula>"S"</formula>
    </cfRule>
  </conditionalFormatting>
  <conditionalFormatting sqref="B6:AF11 B15:AF16 E19:E32 K20:P27 Q20:Q24 S20:AB23 I24:I26 T25:W26 J26 Q27 B34:AF40">
    <cfRule type="cellIs" dxfId="5" priority="21" operator="equal">
      <formula>"OC"</formula>
    </cfRule>
  </conditionalFormatting>
  <conditionalFormatting sqref="B6:AF11 B15:AF16 E19:E32 K20:P27 Q20:Q24 S20:AB23 I24:I26 T25:W26 J26 Q27 B34:AF40">
    <cfRule type="cellIs" dxfId="6" priority="22" operator="equal">
      <formula>"SPV"</formula>
    </cfRule>
  </conditionalFormatting>
  <conditionalFormatting sqref="B6:AF11 B15:AF16 E19:E32 K20:P27 Q20:Q24 S20:AB23 I24:I26 T25:W26 J26 Q27 B34:AF40">
    <cfRule type="cellIs" dxfId="7" priority="23" operator="equal">
      <formula>"INT"</formula>
    </cfRule>
  </conditionalFormatting>
  <conditionalFormatting sqref="B6:AF11 B15:AF16 K20:P26 Q20:Q24 S20:AB23 T25:W26 J26 B34:AF40">
    <cfRule type="cellIs" dxfId="8" priority="24" operator="equal">
      <formula>"T"</formula>
    </cfRule>
  </conditionalFormatting>
  <conditionalFormatting sqref="E31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91" t="s">
        <v>136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92"/>
      <c r="AG3" s="4"/>
      <c r="AH3" s="4"/>
      <c r="AI3" s="4"/>
      <c r="AJ3" s="4"/>
      <c r="AK3" s="4"/>
    </row>
    <row r="4">
      <c r="A4" s="6"/>
      <c r="B4" s="42" t="s">
        <v>7</v>
      </c>
      <c r="C4" s="10" t="s">
        <v>8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2</v>
      </c>
      <c r="L4" s="10" t="s">
        <v>3</v>
      </c>
      <c r="M4" s="10" t="s">
        <v>4</v>
      </c>
      <c r="N4" s="10" t="s">
        <v>5</v>
      </c>
      <c r="O4" s="10" t="s">
        <v>6</v>
      </c>
      <c r="P4" s="10" t="s">
        <v>7</v>
      </c>
      <c r="Q4" s="10" t="s">
        <v>8</v>
      </c>
      <c r="R4" s="10" t="s">
        <v>2</v>
      </c>
      <c r="S4" s="10" t="s">
        <v>3</v>
      </c>
      <c r="T4" s="10" t="s">
        <v>4</v>
      </c>
      <c r="U4" s="10" t="s">
        <v>5</v>
      </c>
      <c r="V4" s="10" t="s">
        <v>6</v>
      </c>
      <c r="W4" s="10" t="s">
        <v>7</v>
      </c>
      <c r="X4" s="10" t="s">
        <v>8</v>
      </c>
      <c r="Y4" s="10" t="s">
        <v>2</v>
      </c>
      <c r="Z4" s="10" t="s">
        <v>3</v>
      </c>
      <c r="AA4" s="10" t="s">
        <v>4</v>
      </c>
      <c r="AB4" s="10" t="s">
        <v>5</v>
      </c>
      <c r="AC4" s="10" t="s">
        <v>6</v>
      </c>
      <c r="AD4" s="10" t="s">
        <v>7</v>
      </c>
      <c r="AE4" s="10" t="s">
        <v>8</v>
      </c>
      <c r="AF4" s="10" t="s">
        <v>2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/>
      <c r="AG5" s="44" t="s">
        <v>38</v>
      </c>
      <c r="AH5" s="45" t="s">
        <v>39</v>
      </c>
      <c r="AI5" s="46" t="s">
        <v>40</v>
      </c>
      <c r="AJ5" s="48" t="s">
        <v>42</v>
      </c>
      <c r="AK5" s="54" t="s">
        <v>76</v>
      </c>
    </row>
    <row r="6">
      <c r="A6" s="19" t="s">
        <v>137</v>
      </c>
      <c r="B6" s="71" t="s">
        <v>68</v>
      </c>
      <c r="C6" s="71" t="s">
        <v>44</v>
      </c>
      <c r="D6" s="71" t="s">
        <v>38</v>
      </c>
      <c r="E6" s="71" t="s">
        <v>40</v>
      </c>
      <c r="F6" s="71" t="s">
        <v>40</v>
      </c>
      <c r="G6" s="71" t="s">
        <v>38</v>
      </c>
      <c r="H6" s="71" t="s">
        <v>38</v>
      </c>
      <c r="I6" s="71" t="s">
        <v>40</v>
      </c>
      <c r="J6" s="71" t="s">
        <v>40</v>
      </c>
      <c r="K6" s="71" t="s">
        <v>38</v>
      </c>
      <c r="L6" s="71" t="s">
        <v>38</v>
      </c>
      <c r="M6" s="71" t="s">
        <v>40</v>
      </c>
      <c r="N6" s="71" t="s">
        <v>40</v>
      </c>
      <c r="O6" s="71" t="s">
        <v>39</v>
      </c>
      <c r="P6" s="71" t="s">
        <v>39</v>
      </c>
      <c r="Q6" s="71" t="s">
        <v>40</v>
      </c>
      <c r="R6" s="71" t="s">
        <v>40</v>
      </c>
      <c r="S6" s="71" t="s">
        <v>39</v>
      </c>
      <c r="T6" s="71" t="s">
        <v>39</v>
      </c>
      <c r="U6" s="71" t="s">
        <v>40</v>
      </c>
      <c r="V6" s="71" t="s">
        <v>40</v>
      </c>
      <c r="W6" s="71" t="s">
        <v>39</v>
      </c>
      <c r="X6" s="71" t="s">
        <v>39</v>
      </c>
      <c r="Y6" s="71" t="s">
        <v>40</v>
      </c>
      <c r="Z6" s="71" t="s">
        <v>40</v>
      </c>
      <c r="AA6" s="71" t="s">
        <v>39</v>
      </c>
      <c r="AB6" s="71" t="s">
        <v>39</v>
      </c>
      <c r="AC6" s="71" t="s">
        <v>40</v>
      </c>
      <c r="AD6" s="71" t="s">
        <v>40</v>
      </c>
      <c r="AE6" s="71" t="s">
        <v>38</v>
      </c>
      <c r="AF6" s="71"/>
      <c r="AG6" s="49">
        <f t="shared" ref="AG6:AG11" si="1">COUNTIF(B6:AF6,"D")</f>
        <v>6</v>
      </c>
      <c r="AH6" s="49">
        <f t="shared" ref="AH6:AH11" si="2">COUNTIF(B6:AF6,"N")</f>
        <v>8</v>
      </c>
      <c r="AI6" s="49">
        <f t="shared" ref="AI6:AI11" si="3">COUNTIF(B6:AF6,"X")</f>
        <v>14</v>
      </c>
      <c r="AJ6" s="49">
        <f t="shared" ref="AJ6:AJ11" si="4">AG6+AH6</f>
        <v>14</v>
      </c>
      <c r="AK6" s="84">
        <f t="shared" ref="AK6:AK12" si="5">(AJ6*12)/4.2</f>
        <v>40</v>
      </c>
    </row>
    <row r="7">
      <c r="A7" s="19" t="s">
        <v>43</v>
      </c>
      <c r="B7" s="69" t="s">
        <v>38</v>
      </c>
      <c r="C7" s="69" t="s">
        <v>38</v>
      </c>
      <c r="D7" s="69" t="s">
        <v>40</v>
      </c>
      <c r="E7" s="69" t="s">
        <v>38</v>
      </c>
      <c r="F7" s="69" t="s">
        <v>38</v>
      </c>
      <c r="G7" s="69" t="s">
        <v>40</v>
      </c>
      <c r="H7" s="69" t="s">
        <v>40</v>
      </c>
      <c r="I7" s="60" t="s">
        <v>65</v>
      </c>
      <c r="J7" s="60" t="s">
        <v>65</v>
      </c>
      <c r="K7" s="60" t="s">
        <v>44</v>
      </c>
      <c r="L7" s="60" t="s">
        <v>44</v>
      </c>
      <c r="M7" s="61" t="s">
        <v>44</v>
      </c>
      <c r="N7" s="61" t="s">
        <v>44</v>
      </c>
      <c r="O7" s="61" t="s">
        <v>44</v>
      </c>
      <c r="P7" s="70" t="s">
        <v>40</v>
      </c>
      <c r="Q7" s="70" t="s">
        <v>40</v>
      </c>
      <c r="R7" s="70" t="s">
        <v>38</v>
      </c>
      <c r="S7" s="70" t="s">
        <v>38</v>
      </c>
      <c r="T7" s="70" t="s">
        <v>40</v>
      </c>
      <c r="U7" s="70" t="s">
        <v>40</v>
      </c>
      <c r="V7" s="70" t="s">
        <v>38</v>
      </c>
      <c r="W7" s="71" t="s">
        <v>38</v>
      </c>
      <c r="X7" s="70" t="s">
        <v>38</v>
      </c>
      <c r="Y7" s="71" t="s">
        <v>40</v>
      </c>
      <c r="Z7" s="71" t="s">
        <v>40</v>
      </c>
      <c r="AA7" s="71" t="s">
        <v>38</v>
      </c>
      <c r="AB7" s="71" t="s">
        <v>38</v>
      </c>
      <c r="AC7" s="71" t="s">
        <v>40</v>
      </c>
      <c r="AD7" s="71" t="s">
        <v>39</v>
      </c>
      <c r="AE7" s="71" t="s">
        <v>40</v>
      </c>
      <c r="AF7" s="71"/>
      <c r="AG7" s="49">
        <f t="shared" si="1"/>
        <v>11</v>
      </c>
      <c r="AH7" s="49">
        <f t="shared" si="2"/>
        <v>1</v>
      </c>
      <c r="AI7" s="49">
        <f t="shared" si="3"/>
        <v>11</v>
      </c>
      <c r="AJ7" s="49">
        <f t="shared" si="4"/>
        <v>12</v>
      </c>
      <c r="AK7" s="84">
        <f t="shared" si="5"/>
        <v>34.28571429</v>
      </c>
    </row>
    <row r="8">
      <c r="A8" s="13" t="s">
        <v>84</v>
      </c>
      <c r="B8" s="69" t="s">
        <v>39</v>
      </c>
      <c r="C8" s="69" t="s">
        <v>40</v>
      </c>
      <c r="D8" s="69" t="s">
        <v>40</v>
      </c>
      <c r="E8" s="69" t="s">
        <v>39</v>
      </c>
      <c r="F8" s="69" t="s">
        <v>39</v>
      </c>
      <c r="G8" s="69" t="s">
        <v>40</v>
      </c>
      <c r="H8" s="69" t="s">
        <v>40</v>
      </c>
      <c r="I8" s="69" t="s">
        <v>38</v>
      </c>
      <c r="J8" s="69" t="s">
        <v>38</v>
      </c>
      <c r="K8" s="69" t="s">
        <v>40</v>
      </c>
      <c r="L8" s="69" t="s">
        <v>40</v>
      </c>
      <c r="M8" s="69" t="s">
        <v>38</v>
      </c>
      <c r="N8" s="69" t="s">
        <v>38</v>
      </c>
      <c r="O8" s="69" t="s">
        <v>40</v>
      </c>
      <c r="P8" s="60" t="s">
        <v>40</v>
      </c>
      <c r="Q8" s="60" t="s">
        <v>38</v>
      </c>
      <c r="R8" s="60" t="s">
        <v>44</v>
      </c>
      <c r="S8" s="60" t="s">
        <v>44</v>
      </c>
      <c r="T8" s="60" t="s">
        <v>44</v>
      </c>
      <c r="U8" s="61" t="s">
        <v>44</v>
      </c>
      <c r="V8" s="61" t="s">
        <v>44</v>
      </c>
      <c r="W8" s="70" t="s">
        <v>40</v>
      </c>
      <c r="X8" s="1" t="s">
        <v>40</v>
      </c>
      <c r="Y8" s="70" t="s">
        <v>44</v>
      </c>
      <c r="Z8" s="70" t="s">
        <v>44</v>
      </c>
      <c r="AA8" s="70" t="s">
        <v>44</v>
      </c>
      <c r="AB8" s="70" t="s">
        <v>44</v>
      </c>
      <c r="AC8" s="70" t="s">
        <v>44</v>
      </c>
      <c r="AD8" s="70" t="s">
        <v>40</v>
      </c>
      <c r="AE8" s="70" t="s">
        <v>40</v>
      </c>
      <c r="AF8" s="70"/>
      <c r="AG8" s="49">
        <f t="shared" si="1"/>
        <v>5</v>
      </c>
      <c r="AH8" s="49">
        <f t="shared" si="2"/>
        <v>3</v>
      </c>
      <c r="AI8" s="49">
        <f t="shared" si="3"/>
        <v>12</v>
      </c>
      <c r="AJ8" s="49">
        <f t="shared" si="4"/>
        <v>8</v>
      </c>
      <c r="AK8" s="84">
        <f t="shared" si="5"/>
        <v>22.85714286</v>
      </c>
    </row>
    <row r="9">
      <c r="A9" s="13" t="s">
        <v>73</v>
      </c>
      <c r="B9" s="60" t="s">
        <v>40</v>
      </c>
      <c r="C9" s="60" t="s">
        <v>39</v>
      </c>
      <c r="D9" s="60" t="s">
        <v>39</v>
      </c>
      <c r="E9" s="60" t="s">
        <v>40</v>
      </c>
      <c r="F9" s="60" t="s">
        <v>40</v>
      </c>
      <c r="G9" s="61" t="s">
        <v>39</v>
      </c>
      <c r="H9" s="61" t="s">
        <v>39</v>
      </c>
      <c r="I9" s="70" t="s">
        <v>40</v>
      </c>
      <c r="J9" s="70" t="s">
        <v>39</v>
      </c>
      <c r="K9" s="70" t="s">
        <v>39</v>
      </c>
      <c r="L9" s="70" t="s">
        <v>40</v>
      </c>
      <c r="M9" s="70" t="s">
        <v>40</v>
      </c>
      <c r="N9" s="70" t="s">
        <v>40</v>
      </c>
      <c r="O9" s="70" t="s">
        <v>38</v>
      </c>
      <c r="P9" s="70" t="s">
        <v>38</v>
      </c>
      <c r="Q9" s="70" t="s">
        <v>40</v>
      </c>
      <c r="R9" s="70" t="s">
        <v>40</v>
      </c>
      <c r="S9" s="70" t="s">
        <v>40</v>
      </c>
      <c r="T9" s="70" t="s">
        <v>38</v>
      </c>
      <c r="U9" s="70" t="s">
        <v>38</v>
      </c>
      <c r="V9" s="70" t="s">
        <v>40</v>
      </c>
      <c r="W9" s="60" t="s">
        <v>40</v>
      </c>
      <c r="X9" s="60" t="s">
        <v>60</v>
      </c>
      <c r="Y9" s="60" t="s">
        <v>44</v>
      </c>
      <c r="Z9" s="60" t="s">
        <v>44</v>
      </c>
      <c r="AA9" s="60" t="s">
        <v>44</v>
      </c>
      <c r="AB9" s="61" t="s">
        <v>44</v>
      </c>
      <c r="AC9" s="61" t="s">
        <v>44</v>
      </c>
      <c r="AD9" s="61" t="s">
        <v>40</v>
      </c>
      <c r="AE9" s="61" t="s">
        <v>40</v>
      </c>
      <c r="AF9" s="61"/>
      <c r="AG9" s="49">
        <f t="shared" si="1"/>
        <v>4</v>
      </c>
      <c r="AH9" s="49">
        <f t="shared" si="2"/>
        <v>6</v>
      </c>
      <c r="AI9" s="49">
        <f t="shared" si="3"/>
        <v>14</v>
      </c>
      <c r="AJ9" s="49">
        <f t="shared" si="4"/>
        <v>10</v>
      </c>
      <c r="AK9" s="84">
        <f t="shared" si="5"/>
        <v>28.57142857</v>
      </c>
    </row>
    <row r="10">
      <c r="A10" s="13" t="s">
        <v>48</v>
      </c>
      <c r="B10" s="69" t="s">
        <v>40</v>
      </c>
      <c r="C10" s="69" t="s">
        <v>40</v>
      </c>
      <c r="D10" s="69" t="s">
        <v>44</v>
      </c>
      <c r="E10" s="69" t="s">
        <v>44</v>
      </c>
      <c r="F10" s="69" t="s">
        <v>44</v>
      </c>
      <c r="G10" s="69" t="s">
        <v>44</v>
      </c>
      <c r="H10" s="69" t="s">
        <v>44</v>
      </c>
      <c r="I10" s="69" t="s">
        <v>40</v>
      </c>
      <c r="J10" s="69" t="s">
        <v>40</v>
      </c>
      <c r="K10" s="69" t="s">
        <v>60</v>
      </c>
      <c r="L10" s="69" t="s">
        <v>39</v>
      </c>
      <c r="M10" s="69" t="s">
        <v>39</v>
      </c>
      <c r="N10" s="69" t="s">
        <v>39</v>
      </c>
      <c r="O10" s="69" t="s">
        <v>40</v>
      </c>
      <c r="P10" s="69" t="s">
        <v>40</v>
      </c>
      <c r="Q10" s="69" t="s">
        <v>39</v>
      </c>
      <c r="R10" s="69" t="s">
        <v>39</v>
      </c>
      <c r="S10" s="69" t="s">
        <v>40</v>
      </c>
      <c r="T10" s="69" t="s">
        <v>40</v>
      </c>
      <c r="U10" s="69" t="s">
        <v>39</v>
      </c>
      <c r="V10" s="69" t="s">
        <v>39</v>
      </c>
      <c r="W10" s="70" t="s">
        <v>40</v>
      </c>
      <c r="X10" s="70" t="s">
        <v>40</v>
      </c>
      <c r="Y10" s="70" t="s">
        <v>39</v>
      </c>
      <c r="Z10" s="70" t="s">
        <v>39</v>
      </c>
      <c r="AA10" s="70" t="s">
        <v>40</v>
      </c>
      <c r="AB10" s="70" t="s">
        <v>40</v>
      </c>
      <c r="AC10" s="70" t="s">
        <v>39</v>
      </c>
      <c r="AD10" s="70" t="s">
        <v>40</v>
      </c>
      <c r="AE10" s="70" t="s">
        <v>39</v>
      </c>
      <c r="AF10" s="70"/>
      <c r="AG10" s="49">
        <f t="shared" si="1"/>
        <v>0</v>
      </c>
      <c r="AH10" s="49">
        <f t="shared" si="2"/>
        <v>11</v>
      </c>
      <c r="AI10" s="49">
        <f t="shared" si="3"/>
        <v>13</v>
      </c>
      <c r="AJ10" s="49">
        <f t="shared" si="4"/>
        <v>11</v>
      </c>
      <c r="AK10" s="84">
        <f t="shared" si="5"/>
        <v>31.42857143</v>
      </c>
    </row>
    <row r="11">
      <c r="A11" s="13" t="s">
        <v>138</v>
      </c>
      <c r="B11" s="69"/>
      <c r="C11" s="69"/>
      <c r="D11" s="69"/>
      <c r="E11" s="69"/>
      <c r="F11" s="69"/>
      <c r="G11" s="69"/>
      <c r="H11" s="69"/>
      <c r="I11" s="69" t="s">
        <v>39</v>
      </c>
      <c r="J11" s="69"/>
      <c r="K11" s="69"/>
      <c r="L11" s="69"/>
      <c r="M11" s="69"/>
      <c r="N11" s="69"/>
      <c r="O11" s="69"/>
      <c r="P11" s="69"/>
      <c r="Q11" s="69"/>
      <c r="R11" s="69" t="s">
        <v>58</v>
      </c>
      <c r="S11" s="69" t="s">
        <v>58</v>
      </c>
      <c r="T11" s="69" t="s">
        <v>40</v>
      </c>
      <c r="U11" s="69" t="s">
        <v>58</v>
      </c>
      <c r="V11" s="69" t="s">
        <v>58</v>
      </c>
      <c r="W11" s="70" t="s">
        <v>40</v>
      </c>
      <c r="X11" s="70" t="s">
        <v>40</v>
      </c>
      <c r="Y11" s="70" t="s">
        <v>38</v>
      </c>
      <c r="Z11" s="70" t="s">
        <v>38</v>
      </c>
      <c r="AA11" s="70" t="s">
        <v>40</v>
      </c>
      <c r="AB11" s="70" t="s">
        <v>40</v>
      </c>
      <c r="AC11" s="70" t="s">
        <v>38</v>
      </c>
      <c r="AD11" s="70" t="s">
        <v>38</v>
      </c>
      <c r="AE11" s="70" t="s">
        <v>40</v>
      </c>
      <c r="AF11" s="70"/>
      <c r="AG11" s="49">
        <f t="shared" si="1"/>
        <v>4</v>
      </c>
      <c r="AH11" s="49">
        <f t="shared" si="2"/>
        <v>1</v>
      </c>
      <c r="AI11" s="49">
        <f t="shared" si="3"/>
        <v>6</v>
      </c>
      <c r="AJ11" s="49">
        <f t="shared" si="4"/>
        <v>5</v>
      </c>
      <c r="AK11" s="84">
        <f t="shared" si="5"/>
        <v>14.28571429</v>
      </c>
    </row>
    <row r="12">
      <c r="A12" s="13" t="s">
        <v>47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49"/>
      <c r="AH12" s="49"/>
      <c r="AI12" s="49"/>
      <c r="AJ12" s="49"/>
      <c r="AK12" s="84">
        <f t="shared" si="5"/>
        <v>0</v>
      </c>
    </row>
    <row r="13">
      <c r="A13" s="23" t="s">
        <v>49</v>
      </c>
      <c r="B13" s="24">
        <f t="shared" ref="B13:AF13" si="6">COUNTIF(B6:B12,"D")</f>
        <v>1</v>
      </c>
      <c r="C13" s="24">
        <f t="shared" si="6"/>
        <v>1</v>
      </c>
      <c r="D13" s="24">
        <f t="shared" si="6"/>
        <v>1</v>
      </c>
      <c r="E13" s="24">
        <f t="shared" si="6"/>
        <v>1</v>
      </c>
      <c r="F13" s="24">
        <f t="shared" si="6"/>
        <v>1</v>
      </c>
      <c r="G13" s="24">
        <f t="shared" si="6"/>
        <v>1</v>
      </c>
      <c r="H13" s="24">
        <f t="shared" si="6"/>
        <v>1</v>
      </c>
      <c r="I13" s="24">
        <f t="shared" si="6"/>
        <v>1</v>
      </c>
      <c r="J13" s="24">
        <f t="shared" si="6"/>
        <v>1</v>
      </c>
      <c r="K13" s="24">
        <f t="shared" si="6"/>
        <v>1</v>
      </c>
      <c r="L13" s="24">
        <f t="shared" si="6"/>
        <v>1</v>
      </c>
      <c r="M13" s="24">
        <f t="shared" si="6"/>
        <v>1</v>
      </c>
      <c r="N13" s="24">
        <f t="shared" si="6"/>
        <v>1</v>
      </c>
      <c r="O13" s="24">
        <f t="shared" si="6"/>
        <v>1</v>
      </c>
      <c r="P13" s="24">
        <f t="shared" si="6"/>
        <v>1</v>
      </c>
      <c r="Q13" s="24">
        <f t="shared" si="6"/>
        <v>1</v>
      </c>
      <c r="R13" s="24">
        <f t="shared" si="6"/>
        <v>1</v>
      </c>
      <c r="S13" s="24">
        <f t="shared" si="6"/>
        <v>1</v>
      </c>
      <c r="T13" s="24">
        <f t="shared" si="6"/>
        <v>1</v>
      </c>
      <c r="U13" s="24">
        <f t="shared" si="6"/>
        <v>1</v>
      </c>
      <c r="V13" s="24">
        <f t="shared" si="6"/>
        <v>1</v>
      </c>
      <c r="W13" s="24">
        <f t="shared" si="6"/>
        <v>1</v>
      </c>
      <c r="X13" s="24">
        <f t="shared" si="6"/>
        <v>1</v>
      </c>
      <c r="Y13" s="24">
        <f t="shared" si="6"/>
        <v>1</v>
      </c>
      <c r="Z13" s="24">
        <f t="shared" si="6"/>
        <v>1</v>
      </c>
      <c r="AA13" s="24">
        <f t="shared" si="6"/>
        <v>1</v>
      </c>
      <c r="AB13" s="24">
        <f t="shared" si="6"/>
        <v>1</v>
      </c>
      <c r="AC13" s="24">
        <f t="shared" si="6"/>
        <v>1</v>
      </c>
      <c r="AD13" s="24">
        <f t="shared" si="6"/>
        <v>1</v>
      </c>
      <c r="AE13" s="24">
        <f t="shared" si="6"/>
        <v>1</v>
      </c>
      <c r="AF13" s="24">
        <f t="shared" si="6"/>
        <v>0</v>
      </c>
      <c r="AJ13" s="49"/>
    </row>
    <row r="14">
      <c r="A14" s="26" t="s">
        <v>50</v>
      </c>
      <c r="B14" s="27">
        <f t="shared" ref="B14:AF14" si="7">COUNTIF(B6:B12,"N")</f>
        <v>1</v>
      </c>
      <c r="C14" s="27">
        <f t="shared" si="7"/>
        <v>1</v>
      </c>
      <c r="D14" s="27">
        <f t="shared" si="7"/>
        <v>1</v>
      </c>
      <c r="E14" s="27">
        <f t="shared" si="7"/>
        <v>1</v>
      </c>
      <c r="F14" s="27">
        <f t="shared" si="7"/>
        <v>1</v>
      </c>
      <c r="G14" s="27">
        <f t="shared" si="7"/>
        <v>1</v>
      </c>
      <c r="H14" s="27">
        <f t="shared" si="7"/>
        <v>1</v>
      </c>
      <c r="I14" s="27">
        <f t="shared" si="7"/>
        <v>1</v>
      </c>
      <c r="J14" s="27">
        <f t="shared" si="7"/>
        <v>1</v>
      </c>
      <c r="K14" s="27">
        <f t="shared" si="7"/>
        <v>1</v>
      </c>
      <c r="L14" s="27">
        <f t="shared" si="7"/>
        <v>1</v>
      </c>
      <c r="M14" s="27">
        <f t="shared" si="7"/>
        <v>1</v>
      </c>
      <c r="N14" s="27">
        <f t="shared" si="7"/>
        <v>1</v>
      </c>
      <c r="O14" s="27">
        <f t="shared" si="7"/>
        <v>1</v>
      </c>
      <c r="P14" s="27">
        <f t="shared" si="7"/>
        <v>1</v>
      </c>
      <c r="Q14" s="27">
        <f t="shared" si="7"/>
        <v>1</v>
      </c>
      <c r="R14" s="27">
        <f t="shared" si="7"/>
        <v>1</v>
      </c>
      <c r="S14" s="27">
        <f t="shared" si="7"/>
        <v>1</v>
      </c>
      <c r="T14" s="27">
        <f t="shared" si="7"/>
        <v>1</v>
      </c>
      <c r="U14" s="27">
        <f t="shared" si="7"/>
        <v>1</v>
      </c>
      <c r="V14" s="27">
        <f t="shared" si="7"/>
        <v>1</v>
      </c>
      <c r="W14" s="27">
        <f t="shared" si="7"/>
        <v>1</v>
      </c>
      <c r="X14" s="27">
        <f t="shared" si="7"/>
        <v>1</v>
      </c>
      <c r="Y14" s="27">
        <f t="shared" si="7"/>
        <v>1</v>
      </c>
      <c r="Z14" s="27">
        <f t="shared" si="7"/>
        <v>1</v>
      </c>
      <c r="AA14" s="27">
        <f t="shared" si="7"/>
        <v>1</v>
      </c>
      <c r="AB14" s="27">
        <f t="shared" si="7"/>
        <v>1</v>
      </c>
      <c r="AC14" s="27">
        <f t="shared" si="7"/>
        <v>1</v>
      </c>
      <c r="AD14" s="27">
        <f t="shared" si="7"/>
        <v>1</v>
      </c>
      <c r="AE14" s="27">
        <f t="shared" si="7"/>
        <v>1</v>
      </c>
      <c r="AF14" s="27">
        <f t="shared" si="7"/>
        <v>0</v>
      </c>
    </row>
    <row r="15">
      <c r="B15" s="85" t="s">
        <v>120</v>
      </c>
      <c r="AG15" s="44" t="s">
        <v>38</v>
      </c>
      <c r="AH15" s="45" t="s">
        <v>39</v>
      </c>
      <c r="AI15" s="46" t="s">
        <v>40</v>
      </c>
      <c r="AJ15" s="48" t="s">
        <v>42</v>
      </c>
      <c r="AK15" s="54" t="s">
        <v>76</v>
      </c>
    </row>
    <row r="16">
      <c r="A16" s="13" t="s">
        <v>104</v>
      </c>
      <c r="B16" s="69" t="s">
        <v>40</v>
      </c>
      <c r="C16" s="69" t="s">
        <v>40</v>
      </c>
      <c r="D16" s="69" t="s">
        <v>38</v>
      </c>
      <c r="E16" s="69" t="s">
        <v>38</v>
      </c>
      <c r="F16" s="69" t="s">
        <v>38</v>
      </c>
      <c r="G16" s="69" t="s">
        <v>38</v>
      </c>
      <c r="H16" s="69" t="s">
        <v>38</v>
      </c>
      <c r="I16" s="69" t="s">
        <v>40</v>
      </c>
      <c r="J16" s="69" t="s">
        <v>40</v>
      </c>
      <c r="K16" s="69" t="s">
        <v>38</v>
      </c>
      <c r="L16" s="69" t="s">
        <v>38</v>
      </c>
      <c r="M16" s="69" t="s">
        <v>38</v>
      </c>
      <c r="N16" s="69" t="s">
        <v>38</v>
      </c>
      <c r="O16" s="69" t="s">
        <v>38</v>
      </c>
      <c r="P16" s="69" t="s">
        <v>40</v>
      </c>
      <c r="Q16" s="69" t="s">
        <v>40</v>
      </c>
      <c r="R16" s="69" t="s">
        <v>38</v>
      </c>
      <c r="S16" s="69" t="s">
        <v>38</v>
      </c>
      <c r="T16" s="69" t="s">
        <v>38</v>
      </c>
      <c r="U16" s="69" t="s">
        <v>38</v>
      </c>
      <c r="V16" s="69" t="s">
        <v>38</v>
      </c>
      <c r="W16" s="69" t="s">
        <v>40</v>
      </c>
      <c r="X16" s="69" t="s">
        <v>40</v>
      </c>
      <c r="Y16" s="69" t="s">
        <v>39</v>
      </c>
      <c r="Z16" s="69" t="s">
        <v>39</v>
      </c>
      <c r="AA16" s="69" t="s">
        <v>39</v>
      </c>
      <c r="AB16" s="69" t="s">
        <v>39</v>
      </c>
      <c r="AC16" s="69" t="s">
        <v>39</v>
      </c>
      <c r="AD16" s="69" t="s">
        <v>40</v>
      </c>
      <c r="AE16" s="69" t="s">
        <v>40</v>
      </c>
      <c r="AF16" s="69"/>
      <c r="AG16" s="49">
        <f t="shared" ref="AG16:AG17" si="8">COUNTIF(B16:AF16,"D")</f>
        <v>15</v>
      </c>
      <c r="AH16" s="49">
        <f t="shared" ref="AH16:AH17" si="9">COUNTIF(B16:AF16,"N")</f>
        <v>5</v>
      </c>
      <c r="AI16" s="49">
        <f t="shared" ref="AI16:AI17" si="10">COUNTIF(B16:AF16,"X")</f>
        <v>10</v>
      </c>
      <c r="AJ16" s="49">
        <f t="shared" ref="AJ16:AJ17" si="11">AG16+AH16</f>
        <v>20</v>
      </c>
      <c r="AK16" s="84">
        <f t="shared" ref="AK16:AK17" si="12">(AJ16*10)/4</f>
        <v>50</v>
      </c>
    </row>
    <row r="17">
      <c r="A17" s="13" t="s">
        <v>121</v>
      </c>
      <c r="B17" s="69" t="s">
        <v>40</v>
      </c>
      <c r="C17" s="69" t="s">
        <v>40</v>
      </c>
      <c r="D17" s="69" t="s">
        <v>39</v>
      </c>
      <c r="E17" s="69" t="s">
        <v>39</v>
      </c>
      <c r="F17" s="69" t="s">
        <v>39</v>
      </c>
      <c r="G17" s="69" t="s">
        <v>39</v>
      </c>
      <c r="H17" s="69" t="s">
        <v>39</v>
      </c>
      <c r="I17" s="69" t="s">
        <v>40</v>
      </c>
      <c r="J17" s="69" t="s">
        <v>40</v>
      </c>
      <c r="K17" s="69" t="s">
        <v>39</v>
      </c>
      <c r="L17" s="69" t="s">
        <v>39</v>
      </c>
      <c r="M17" s="69" t="s">
        <v>39</v>
      </c>
      <c r="N17" s="69" t="s">
        <v>39</v>
      </c>
      <c r="O17" s="69" t="s">
        <v>39</v>
      </c>
      <c r="P17" s="69" t="s">
        <v>40</v>
      </c>
      <c r="Q17" s="69" t="s">
        <v>40</v>
      </c>
      <c r="R17" s="69" t="s">
        <v>39</v>
      </c>
      <c r="S17" s="69" t="s">
        <v>39</v>
      </c>
      <c r="T17" s="69" t="s">
        <v>39</v>
      </c>
      <c r="U17" s="69" t="s">
        <v>39</v>
      </c>
      <c r="V17" s="69" t="s">
        <v>39</v>
      </c>
      <c r="W17" s="69" t="s">
        <v>40</v>
      </c>
      <c r="X17" s="69" t="s">
        <v>40</v>
      </c>
      <c r="Y17" s="69" t="s">
        <v>38</v>
      </c>
      <c r="Z17" s="69" t="s">
        <v>38</v>
      </c>
      <c r="AA17" s="69" t="s">
        <v>38</v>
      </c>
      <c r="AB17" s="69" t="s">
        <v>38</v>
      </c>
      <c r="AC17" s="69" t="s">
        <v>38</v>
      </c>
      <c r="AD17" s="69" t="s">
        <v>40</v>
      </c>
      <c r="AE17" s="69" t="s">
        <v>40</v>
      </c>
      <c r="AF17" s="69"/>
      <c r="AG17" s="49">
        <f t="shared" si="8"/>
        <v>5</v>
      </c>
      <c r="AH17" s="49">
        <f t="shared" si="9"/>
        <v>15</v>
      </c>
      <c r="AI17" s="49">
        <f t="shared" si="10"/>
        <v>10</v>
      </c>
      <c r="AJ17" s="49">
        <f t="shared" si="11"/>
        <v>20</v>
      </c>
      <c r="AK17" s="84">
        <f t="shared" si="12"/>
        <v>50</v>
      </c>
    </row>
    <row r="18">
      <c r="A18" s="23" t="s">
        <v>49</v>
      </c>
      <c r="B18" s="24">
        <f t="shared" ref="B18:AF18" si="13">COUNTIF(B16:B17,"D")</f>
        <v>0</v>
      </c>
      <c r="C18" s="24">
        <f t="shared" si="13"/>
        <v>0</v>
      </c>
      <c r="D18" s="24">
        <f t="shared" si="13"/>
        <v>1</v>
      </c>
      <c r="E18" s="24">
        <f t="shared" si="13"/>
        <v>1</v>
      </c>
      <c r="F18" s="24">
        <f t="shared" si="13"/>
        <v>1</v>
      </c>
      <c r="G18" s="24">
        <f t="shared" si="13"/>
        <v>1</v>
      </c>
      <c r="H18" s="24">
        <f t="shared" si="13"/>
        <v>1</v>
      </c>
      <c r="I18" s="24">
        <f t="shared" si="13"/>
        <v>0</v>
      </c>
      <c r="J18" s="24">
        <f t="shared" si="13"/>
        <v>0</v>
      </c>
      <c r="K18" s="24">
        <f t="shared" si="13"/>
        <v>1</v>
      </c>
      <c r="L18" s="24">
        <f t="shared" si="13"/>
        <v>1</v>
      </c>
      <c r="M18" s="24">
        <f t="shared" si="13"/>
        <v>1</v>
      </c>
      <c r="N18" s="24">
        <f t="shared" si="13"/>
        <v>1</v>
      </c>
      <c r="O18" s="24">
        <f t="shared" si="13"/>
        <v>1</v>
      </c>
      <c r="P18" s="24">
        <f t="shared" si="13"/>
        <v>0</v>
      </c>
      <c r="Q18" s="24">
        <f t="shared" si="13"/>
        <v>0</v>
      </c>
      <c r="R18" s="24">
        <f t="shared" si="13"/>
        <v>1</v>
      </c>
      <c r="S18" s="24">
        <f t="shared" si="13"/>
        <v>1</v>
      </c>
      <c r="T18" s="24">
        <f t="shared" si="13"/>
        <v>1</v>
      </c>
      <c r="U18" s="24">
        <f t="shared" si="13"/>
        <v>1</v>
      </c>
      <c r="V18" s="24">
        <f t="shared" si="13"/>
        <v>1</v>
      </c>
      <c r="W18" s="24">
        <f t="shared" si="13"/>
        <v>0</v>
      </c>
      <c r="X18" s="24">
        <f t="shared" si="13"/>
        <v>0</v>
      </c>
      <c r="Y18" s="24">
        <f t="shared" si="13"/>
        <v>1</v>
      </c>
      <c r="Z18" s="24">
        <f t="shared" si="13"/>
        <v>1</v>
      </c>
      <c r="AA18" s="24">
        <f t="shared" si="13"/>
        <v>1</v>
      </c>
      <c r="AB18" s="24">
        <f t="shared" si="13"/>
        <v>1</v>
      </c>
      <c r="AC18" s="24">
        <f t="shared" si="13"/>
        <v>1</v>
      </c>
      <c r="AD18" s="24">
        <f t="shared" si="13"/>
        <v>0</v>
      </c>
      <c r="AE18" s="24">
        <f t="shared" si="13"/>
        <v>0</v>
      </c>
      <c r="AF18" s="24">
        <f t="shared" si="13"/>
        <v>0</v>
      </c>
      <c r="AG18" s="53"/>
      <c r="AH18" s="53"/>
      <c r="AI18" s="53"/>
      <c r="AJ18" s="53"/>
      <c r="AK18" s="53"/>
    </row>
    <row r="19">
      <c r="A19" s="26" t="s">
        <v>50</v>
      </c>
      <c r="B19" s="27">
        <f t="shared" ref="B19:AF19" si="14">COUNTIF(B16:B17,"N")</f>
        <v>0</v>
      </c>
      <c r="C19" s="27">
        <f t="shared" si="14"/>
        <v>0</v>
      </c>
      <c r="D19" s="27">
        <f t="shared" si="14"/>
        <v>1</v>
      </c>
      <c r="E19" s="27">
        <f t="shared" si="14"/>
        <v>1</v>
      </c>
      <c r="F19" s="27">
        <f t="shared" si="14"/>
        <v>1</v>
      </c>
      <c r="G19" s="27">
        <f t="shared" si="14"/>
        <v>1</v>
      </c>
      <c r="H19" s="27">
        <f t="shared" si="14"/>
        <v>1</v>
      </c>
      <c r="I19" s="27">
        <f t="shared" si="14"/>
        <v>0</v>
      </c>
      <c r="J19" s="27">
        <f t="shared" si="14"/>
        <v>0</v>
      </c>
      <c r="K19" s="27">
        <f t="shared" si="14"/>
        <v>1</v>
      </c>
      <c r="L19" s="27">
        <f t="shared" si="14"/>
        <v>1</v>
      </c>
      <c r="M19" s="27">
        <f t="shared" si="14"/>
        <v>1</v>
      </c>
      <c r="N19" s="27">
        <f t="shared" si="14"/>
        <v>1</v>
      </c>
      <c r="O19" s="27">
        <f t="shared" si="14"/>
        <v>1</v>
      </c>
      <c r="P19" s="27">
        <f t="shared" si="14"/>
        <v>0</v>
      </c>
      <c r="Q19" s="27">
        <f t="shared" si="14"/>
        <v>0</v>
      </c>
      <c r="R19" s="27">
        <f t="shared" si="14"/>
        <v>1</v>
      </c>
      <c r="S19" s="27">
        <f t="shared" si="14"/>
        <v>1</v>
      </c>
      <c r="T19" s="27">
        <f t="shared" si="14"/>
        <v>1</v>
      </c>
      <c r="U19" s="27">
        <f t="shared" si="14"/>
        <v>1</v>
      </c>
      <c r="V19" s="27">
        <f t="shared" si="14"/>
        <v>1</v>
      </c>
      <c r="W19" s="27">
        <f t="shared" si="14"/>
        <v>0</v>
      </c>
      <c r="X19" s="27">
        <f t="shared" si="14"/>
        <v>0</v>
      </c>
      <c r="Y19" s="27">
        <f t="shared" si="14"/>
        <v>1</v>
      </c>
      <c r="Z19" s="27">
        <f t="shared" si="14"/>
        <v>1</v>
      </c>
      <c r="AA19" s="27">
        <f t="shared" si="14"/>
        <v>1</v>
      </c>
      <c r="AB19" s="27">
        <f t="shared" si="14"/>
        <v>1</v>
      </c>
      <c r="AC19" s="27">
        <f t="shared" si="14"/>
        <v>1</v>
      </c>
      <c r="AD19" s="27">
        <f t="shared" si="14"/>
        <v>0</v>
      </c>
      <c r="AE19" s="27">
        <f t="shared" si="14"/>
        <v>0</v>
      </c>
      <c r="AF19" s="27">
        <f t="shared" si="14"/>
        <v>0</v>
      </c>
      <c r="AG19" s="22"/>
      <c r="AH19" s="22"/>
      <c r="AI19" s="22"/>
      <c r="AJ19" s="22"/>
      <c r="AK19" s="22"/>
    </row>
    <row r="20">
      <c r="I20" s="28"/>
      <c r="J20" s="11"/>
      <c r="K20" s="68"/>
      <c r="L20" s="68"/>
      <c r="M20" s="68"/>
      <c r="N20" s="68"/>
      <c r="O20" s="68"/>
      <c r="P20" s="68"/>
      <c r="Q20" s="68"/>
      <c r="R20" s="11"/>
      <c r="S20" s="11"/>
      <c r="T20" s="11"/>
      <c r="U20" s="11"/>
      <c r="V20" s="43" t="s">
        <v>0</v>
      </c>
      <c r="W20" s="11"/>
      <c r="AG20" s="22"/>
      <c r="AH20" s="22"/>
      <c r="AI20" s="22"/>
      <c r="AJ20" s="22"/>
      <c r="AK20" s="22"/>
    </row>
    <row r="22">
      <c r="A22" s="6"/>
      <c r="B22" s="11"/>
      <c r="C22" s="11"/>
      <c r="D22" s="11"/>
      <c r="E22" s="11"/>
      <c r="F22" s="11"/>
      <c r="G22" s="11"/>
      <c r="H22" s="11"/>
      <c r="L22" s="93" t="s">
        <v>139</v>
      </c>
    </row>
    <row r="23">
      <c r="A23" s="6"/>
      <c r="B23" s="42" t="s">
        <v>4</v>
      </c>
      <c r="C23" s="10" t="s">
        <v>5</v>
      </c>
      <c r="D23" s="10" t="s">
        <v>6</v>
      </c>
      <c r="E23" s="10" t="s">
        <v>7</v>
      </c>
      <c r="F23" s="10" t="s">
        <v>8</v>
      </c>
      <c r="G23" s="10" t="s">
        <v>2</v>
      </c>
      <c r="H23" s="10" t="s">
        <v>3</v>
      </c>
      <c r="I23" s="10" t="s">
        <v>4</v>
      </c>
      <c r="J23" s="10" t="s">
        <v>5</v>
      </c>
      <c r="K23" s="10" t="s">
        <v>6</v>
      </c>
      <c r="L23" s="10" t="s">
        <v>7</v>
      </c>
      <c r="M23" s="10" t="s">
        <v>8</v>
      </c>
      <c r="N23" s="10" t="s">
        <v>2</v>
      </c>
      <c r="O23" s="10" t="s">
        <v>3</v>
      </c>
      <c r="P23" s="10" t="s">
        <v>4</v>
      </c>
      <c r="Q23" s="10" t="s">
        <v>5</v>
      </c>
      <c r="R23" s="10" t="s">
        <v>6</v>
      </c>
      <c r="S23" s="10" t="s">
        <v>7</v>
      </c>
      <c r="T23" s="10" t="s">
        <v>8</v>
      </c>
      <c r="U23" s="10" t="s">
        <v>2</v>
      </c>
      <c r="V23" s="10" t="s">
        <v>3</v>
      </c>
      <c r="W23" s="10" t="s">
        <v>4</v>
      </c>
      <c r="X23" s="10" t="s">
        <v>5</v>
      </c>
      <c r="Y23" s="10" t="s">
        <v>6</v>
      </c>
      <c r="Z23" s="10" t="s">
        <v>7</v>
      </c>
      <c r="AA23" s="10" t="s">
        <v>8</v>
      </c>
      <c r="AB23" s="10" t="s">
        <v>2</v>
      </c>
      <c r="AC23" s="10" t="s">
        <v>3</v>
      </c>
      <c r="AD23" s="10" t="s">
        <v>4</v>
      </c>
      <c r="AE23" s="10" t="s">
        <v>5</v>
      </c>
      <c r="AF23" s="10" t="s">
        <v>6</v>
      </c>
      <c r="AG23" s="11"/>
      <c r="AH23" s="11"/>
      <c r="AI23" s="11"/>
      <c r="AJ23" s="11"/>
      <c r="AK23" s="11"/>
    </row>
    <row r="24">
      <c r="A24" s="12"/>
      <c r="B24" s="13" t="s">
        <v>71</v>
      </c>
      <c r="C24" s="13" t="s">
        <v>75</v>
      </c>
      <c r="D24" s="13" t="s">
        <v>10</v>
      </c>
      <c r="E24" s="13" t="s">
        <v>11</v>
      </c>
      <c r="F24" s="13" t="s">
        <v>12</v>
      </c>
      <c r="G24" s="13" t="s">
        <v>13</v>
      </c>
      <c r="H24" s="13" t="s">
        <v>14</v>
      </c>
      <c r="I24" s="13" t="s">
        <v>15</v>
      </c>
      <c r="J24" s="13" t="s">
        <v>16</v>
      </c>
      <c r="K24" s="13" t="s">
        <v>17</v>
      </c>
      <c r="L24" s="13" t="s">
        <v>18</v>
      </c>
      <c r="M24" s="13" t="s">
        <v>19</v>
      </c>
      <c r="N24" s="13" t="s">
        <v>20</v>
      </c>
      <c r="O24" s="13" t="s">
        <v>21</v>
      </c>
      <c r="P24" s="13" t="s">
        <v>22</v>
      </c>
      <c r="Q24" s="13" t="s">
        <v>23</v>
      </c>
      <c r="R24" s="13" t="s">
        <v>24</v>
      </c>
      <c r="S24" s="13" t="s">
        <v>25</v>
      </c>
      <c r="T24" s="13" t="s">
        <v>26</v>
      </c>
      <c r="U24" s="13" t="s">
        <v>27</v>
      </c>
      <c r="V24" s="13" t="s">
        <v>28</v>
      </c>
      <c r="W24" s="13" t="s">
        <v>29</v>
      </c>
      <c r="X24" s="13" t="s">
        <v>30</v>
      </c>
      <c r="Y24" s="13" t="s">
        <v>31</v>
      </c>
      <c r="Z24" s="13" t="s">
        <v>32</v>
      </c>
      <c r="AA24" s="13" t="s">
        <v>33</v>
      </c>
      <c r="AB24" s="13" t="s">
        <v>34</v>
      </c>
      <c r="AC24" s="13" t="s">
        <v>35</v>
      </c>
      <c r="AD24" s="13" t="s">
        <v>36</v>
      </c>
      <c r="AE24" s="13" t="s">
        <v>37</v>
      </c>
      <c r="AF24" s="13" t="s">
        <v>70</v>
      </c>
      <c r="AG24" s="13"/>
      <c r="AH24" s="13"/>
      <c r="AI24" s="13"/>
      <c r="AJ24" s="13"/>
      <c r="AK24" s="13"/>
    </row>
    <row r="25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44" t="s">
        <v>38</v>
      </c>
      <c r="AH25" s="45" t="s">
        <v>39</v>
      </c>
      <c r="AI25" s="46" t="s">
        <v>40</v>
      </c>
      <c r="AJ25" s="48" t="s">
        <v>42</v>
      </c>
      <c r="AK25" s="54" t="s">
        <v>76</v>
      </c>
    </row>
    <row r="26">
      <c r="A26" s="19" t="s">
        <v>132</v>
      </c>
      <c r="B26" s="69"/>
      <c r="C26" s="69"/>
      <c r="D26" s="69"/>
      <c r="E26" s="69"/>
      <c r="F26" s="69"/>
      <c r="G26" s="69"/>
      <c r="H26" s="69"/>
      <c r="I26" s="60"/>
      <c r="J26" s="60"/>
      <c r="K26" s="60"/>
      <c r="L26" s="60"/>
      <c r="M26" s="61"/>
      <c r="N26" s="61"/>
      <c r="O26" s="61"/>
      <c r="P26" s="70"/>
      <c r="Q26" s="70"/>
      <c r="R26" s="71" t="s">
        <v>38</v>
      </c>
      <c r="S26" s="71" t="s">
        <v>38</v>
      </c>
      <c r="T26" s="71" t="s">
        <v>38</v>
      </c>
      <c r="U26" s="70"/>
      <c r="V26" s="70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49">
        <f t="shared" ref="AG26:AG29" si="15">COUNTIF(B26:AF26,"D")</f>
        <v>3</v>
      </c>
      <c r="AH26" s="49">
        <f t="shared" ref="AH26:AH29" si="16">COUNTIF(B26:AF26,"N")</f>
        <v>0</v>
      </c>
      <c r="AI26" s="49">
        <f t="shared" ref="AI26:AI29" si="17">COUNTIF(B26:AF26,"X")</f>
        <v>0</v>
      </c>
      <c r="AJ26" s="49">
        <f t="shared" ref="AJ26:AJ29" si="18">AG26+AH26</f>
        <v>3</v>
      </c>
      <c r="AK26" s="84">
        <f t="shared" ref="AK26:AK29" si="19">(AJ26*12)/4.4</f>
        <v>8.181818182</v>
      </c>
    </row>
    <row r="27">
      <c r="A27" s="19" t="s">
        <v>133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0"/>
      <c r="Q27" s="60"/>
      <c r="R27" s="70" t="s">
        <v>39</v>
      </c>
      <c r="S27" s="70" t="s">
        <v>39</v>
      </c>
      <c r="T27" s="70" t="s">
        <v>39</v>
      </c>
      <c r="U27" s="61"/>
      <c r="V27" s="61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49">
        <f t="shared" si="15"/>
        <v>0</v>
      </c>
      <c r="AH27" s="49">
        <f t="shared" si="16"/>
        <v>3</v>
      </c>
      <c r="AI27" s="49">
        <f t="shared" si="17"/>
        <v>0</v>
      </c>
      <c r="AJ27" s="49">
        <f t="shared" si="18"/>
        <v>3</v>
      </c>
      <c r="AK27" s="84">
        <f t="shared" si="19"/>
        <v>8.181818182</v>
      </c>
    </row>
    <row r="28">
      <c r="A28" s="13" t="s">
        <v>134</v>
      </c>
      <c r="B28" s="60"/>
      <c r="C28" s="60"/>
      <c r="D28" s="60"/>
      <c r="E28" s="60"/>
      <c r="F28" s="60"/>
      <c r="G28" s="61"/>
      <c r="H28" s="61"/>
      <c r="I28" s="70"/>
      <c r="J28" s="70"/>
      <c r="K28" s="70"/>
      <c r="L28" s="70"/>
      <c r="M28" s="70"/>
      <c r="N28" s="70"/>
      <c r="O28" s="70"/>
      <c r="P28" s="70"/>
      <c r="Q28" s="70"/>
      <c r="R28" s="60" t="s">
        <v>39</v>
      </c>
      <c r="S28" s="60" t="s">
        <v>39</v>
      </c>
      <c r="T28" s="60" t="s">
        <v>39</v>
      </c>
      <c r="U28" s="70"/>
      <c r="V28" s="70"/>
      <c r="W28" s="60"/>
      <c r="X28" s="60"/>
      <c r="Y28" s="60"/>
      <c r="Z28" s="60"/>
      <c r="AA28" s="60"/>
      <c r="AB28" s="61"/>
      <c r="AC28" s="61"/>
      <c r="AD28" s="61"/>
      <c r="AE28" s="61"/>
      <c r="AF28" s="61"/>
      <c r="AG28" s="49">
        <f t="shared" si="15"/>
        <v>0</v>
      </c>
      <c r="AH28" s="49">
        <f t="shared" si="16"/>
        <v>3</v>
      </c>
      <c r="AI28" s="49">
        <f t="shared" si="17"/>
        <v>0</v>
      </c>
      <c r="AJ28" s="49">
        <f t="shared" si="18"/>
        <v>3</v>
      </c>
      <c r="AK28" s="84">
        <f t="shared" si="19"/>
        <v>8.181818182</v>
      </c>
    </row>
    <row r="29">
      <c r="A29" s="13" t="s">
        <v>135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70" t="s">
        <v>38</v>
      </c>
      <c r="S29" s="70" t="s">
        <v>38</v>
      </c>
      <c r="T29" s="70" t="s">
        <v>38</v>
      </c>
      <c r="U29" s="69"/>
      <c r="V29" s="69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49">
        <f t="shared" si="15"/>
        <v>3</v>
      </c>
      <c r="AH29" s="49">
        <f t="shared" si="16"/>
        <v>0</v>
      </c>
      <c r="AI29" s="49">
        <f t="shared" si="17"/>
        <v>0</v>
      </c>
      <c r="AJ29" s="49">
        <f t="shared" si="18"/>
        <v>3</v>
      </c>
      <c r="AK29" s="84">
        <f t="shared" si="19"/>
        <v>8.181818182</v>
      </c>
    </row>
    <row r="30">
      <c r="A30" s="23" t="s">
        <v>49</v>
      </c>
      <c r="B30" s="24">
        <f t="shared" ref="B30:Q30" si="20">COUNTIF(B25:B29,"D")</f>
        <v>0</v>
      </c>
      <c r="C30" s="24">
        <f t="shared" si="20"/>
        <v>0</v>
      </c>
      <c r="D30" s="24">
        <f t="shared" si="20"/>
        <v>0</v>
      </c>
      <c r="E30" s="24">
        <f t="shared" si="20"/>
        <v>0</v>
      </c>
      <c r="F30" s="24">
        <f t="shared" si="20"/>
        <v>0</v>
      </c>
      <c r="G30" s="24">
        <f t="shared" si="20"/>
        <v>0</v>
      </c>
      <c r="H30" s="24">
        <f t="shared" si="20"/>
        <v>0</v>
      </c>
      <c r="I30" s="24">
        <f t="shared" si="20"/>
        <v>0</v>
      </c>
      <c r="J30" s="24">
        <f t="shared" si="20"/>
        <v>0</v>
      </c>
      <c r="K30" s="24">
        <f t="shared" si="20"/>
        <v>0</v>
      </c>
      <c r="L30" s="24">
        <f t="shared" si="20"/>
        <v>0</v>
      </c>
      <c r="M30" s="24">
        <f t="shared" si="20"/>
        <v>0</v>
      </c>
      <c r="N30" s="24">
        <f t="shared" si="20"/>
        <v>0</v>
      </c>
      <c r="O30" s="24">
        <f t="shared" si="20"/>
        <v>0</v>
      </c>
      <c r="P30" s="24">
        <f t="shared" si="20"/>
        <v>0</v>
      </c>
      <c r="Q30" s="24">
        <f t="shared" si="20"/>
        <v>0</v>
      </c>
      <c r="R30" s="24">
        <f t="shared" ref="R30:T30" si="21">COUNTIF(R26:R29,"D")</f>
        <v>2</v>
      </c>
      <c r="S30" s="24">
        <f t="shared" si="21"/>
        <v>2</v>
      </c>
      <c r="T30" s="24">
        <f t="shared" si="21"/>
        <v>2</v>
      </c>
      <c r="U30" s="24">
        <f t="shared" ref="U30:AF30" si="22">COUNTIF(U25:U29,"D")</f>
        <v>0</v>
      </c>
      <c r="V30" s="24">
        <f t="shared" si="22"/>
        <v>0</v>
      </c>
      <c r="W30" s="24">
        <f t="shared" si="22"/>
        <v>0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0</v>
      </c>
      <c r="AD30" s="24">
        <f t="shared" si="22"/>
        <v>0</v>
      </c>
      <c r="AE30" s="24">
        <f t="shared" si="22"/>
        <v>0</v>
      </c>
      <c r="AF30" s="24">
        <f t="shared" si="22"/>
        <v>0</v>
      </c>
      <c r="AJ30" s="49"/>
    </row>
    <row r="31">
      <c r="A31" s="26" t="s">
        <v>50</v>
      </c>
      <c r="B31" s="27">
        <f t="shared" ref="B31:Q31" si="23">COUNTIF(B25:B29,"N")</f>
        <v>0</v>
      </c>
      <c r="C31" s="27">
        <f t="shared" si="23"/>
        <v>0</v>
      </c>
      <c r="D31" s="27">
        <f t="shared" si="23"/>
        <v>0</v>
      </c>
      <c r="E31" s="27">
        <f t="shared" si="23"/>
        <v>0</v>
      </c>
      <c r="F31" s="27">
        <f t="shared" si="23"/>
        <v>0</v>
      </c>
      <c r="G31" s="27">
        <f t="shared" si="23"/>
        <v>0</v>
      </c>
      <c r="H31" s="27">
        <f t="shared" si="23"/>
        <v>0</v>
      </c>
      <c r="I31" s="27">
        <f t="shared" si="23"/>
        <v>0</v>
      </c>
      <c r="J31" s="27">
        <f t="shared" si="23"/>
        <v>0</v>
      </c>
      <c r="K31" s="27">
        <f t="shared" si="23"/>
        <v>0</v>
      </c>
      <c r="L31" s="27">
        <f t="shared" si="23"/>
        <v>0</v>
      </c>
      <c r="M31" s="27">
        <f t="shared" si="23"/>
        <v>0</v>
      </c>
      <c r="N31" s="27">
        <f t="shared" si="23"/>
        <v>0</v>
      </c>
      <c r="O31" s="27">
        <f t="shared" si="23"/>
        <v>0</v>
      </c>
      <c r="P31" s="27">
        <f t="shared" si="23"/>
        <v>0</v>
      </c>
      <c r="Q31" s="27">
        <f t="shared" si="23"/>
        <v>0</v>
      </c>
      <c r="R31" s="27">
        <f t="shared" ref="R31:T31" si="24">COUNTIF(R26:R29,"N")</f>
        <v>2</v>
      </c>
      <c r="S31" s="27">
        <f t="shared" si="24"/>
        <v>2</v>
      </c>
      <c r="T31" s="27">
        <f t="shared" si="24"/>
        <v>2</v>
      </c>
      <c r="U31" s="27">
        <f t="shared" ref="U31:AF31" si="25">COUNTIF(U25:U29,"N")</f>
        <v>0</v>
      </c>
      <c r="V31" s="27">
        <f t="shared" si="25"/>
        <v>0</v>
      </c>
      <c r="W31" s="27">
        <f t="shared" si="25"/>
        <v>0</v>
      </c>
      <c r="X31" s="27">
        <f t="shared" si="25"/>
        <v>0</v>
      </c>
      <c r="Y31" s="27">
        <f t="shared" si="25"/>
        <v>0</v>
      </c>
      <c r="Z31" s="27">
        <f t="shared" si="25"/>
        <v>0</v>
      </c>
      <c r="AA31" s="27">
        <f t="shared" si="25"/>
        <v>0</v>
      </c>
      <c r="AB31" s="27">
        <f t="shared" si="25"/>
        <v>0</v>
      </c>
      <c r="AC31" s="27">
        <f t="shared" si="25"/>
        <v>0</v>
      </c>
      <c r="AD31" s="27">
        <f t="shared" si="25"/>
        <v>0</v>
      </c>
      <c r="AE31" s="27">
        <f t="shared" si="25"/>
        <v>0</v>
      </c>
      <c r="AF31" s="27">
        <f t="shared" si="25"/>
        <v>0</v>
      </c>
    </row>
    <row r="34">
      <c r="E34" s="29" t="s">
        <v>51</v>
      </c>
      <c r="F34" s="30"/>
      <c r="G34" s="30"/>
      <c r="H34" s="31"/>
      <c r="J34" s="13"/>
      <c r="K34" s="71"/>
      <c r="L34" s="71"/>
      <c r="M34" s="71"/>
      <c r="N34" s="71"/>
      <c r="O34" s="71"/>
      <c r="P34" s="71"/>
      <c r="Q34" s="71"/>
      <c r="R34" s="19"/>
      <c r="S34" s="70"/>
      <c r="T34" s="70"/>
      <c r="U34" s="70"/>
      <c r="V34" s="71"/>
      <c r="W34" s="71"/>
      <c r="X34" s="71"/>
      <c r="Y34" s="71"/>
      <c r="Z34" s="71"/>
      <c r="AA34" s="71"/>
      <c r="AB34" s="71"/>
      <c r="AG34" s="22"/>
      <c r="AH34" s="22"/>
      <c r="AI34" s="22"/>
      <c r="AJ34" s="22"/>
      <c r="AK34" s="22"/>
    </row>
    <row r="35">
      <c r="E35" s="33" t="s">
        <v>38</v>
      </c>
      <c r="F35" s="1" t="s">
        <v>52</v>
      </c>
      <c r="H35" s="34"/>
      <c r="K35" s="70"/>
      <c r="L35" s="70"/>
      <c r="M35" s="70"/>
      <c r="N35" s="70"/>
      <c r="O35" s="70"/>
      <c r="P35" s="70"/>
      <c r="Q35" s="70"/>
      <c r="R35" s="13"/>
      <c r="S35" s="60"/>
      <c r="T35" s="61"/>
      <c r="U35" s="61"/>
      <c r="V35" s="70"/>
      <c r="W35" s="70"/>
      <c r="X35" s="70" t="s">
        <v>122</v>
      </c>
      <c r="Y35" s="70"/>
      <c r="Z35" s="70"/>
      <c r="AA35" s="70"/>
      <c r="AB35" s="70"/>
      <c r="AG35" s="22"/>
      <c r="AH35" s="22"/>
      <c r="AI35" s="22"/>
      <c r="AJ35" s="22"/>
      <c r="AK35" s="22"/>
    </row>
    <row r="36">
      <c r="E36" s="33" t="s">
        <v>39</v>
      </c>
      <c r="F36" s="1" t="s">
        <v>53</v>
      </c>
      <c r="H36" s="34"/>
      <c r="J36" s="19"/>
      <c r="K36" s="60"/>
      <c r="L36" s="60"/>
      <c r="M36" s="61"/>
      <c r="N36" s="61"/>
      <c r="O36" s="61"/>
      <c r="P36" s="61"/>
      <c r="Q36" s="61"/>
      <c r="R36" s="13"/>
      <c r="S36" s="70"/>
      <c r="T36" s="70"/>
      <c r="U36" s="70"/>
      <c r="V36" s="60"/>
      <c r="W36" s="60"/>
      <c r="X36" s="60" t="s">
        <v>123</v>
      </c>
      <c r="Y36" s="60" t="s">
        <v>124</v>
      </c>
      <c r="Z36" s="60"/>
      <c r="AA36" s="61"/>
      <c r="AB36" s="61"/>
    </row>
    <row r="37">
      <c r="E37" s="33" t="s">
        <v>41</v>
      </c>
      <c r="F37" s="1" t="s">
        <v>54</v>
      </c>
      <c r="H37" s="34"/>
      <c r="J37" s="13"/>
      <c r="K37" s="70"/>
      <c r="L37" s="70"/>
      <c r="M37" s="70"/>
      <c r="N37" s="70"/>
      <c r="O37" s="70"/>
      <c r="P37" s="70"/>
      <c r="Q37" s="70"/>
      <c r="R37" s="13"/>
      <c r="S37" s="69"/>
      <c r="T37" s="69"/>
      <c r="U37" s="69"/>
      <c r="V37" s="70"/>
      <c r="W37" s="70"/>
      <c r="X37" s="88" t="s">
        <v>125</v>
      </c>
      <c r="Y37" s="88" t="s">
        <v>126</v>
      </c>
      <c r="Z37" s="70"/>
      <c r="AA37" s="70"/>
      <c r="AB37" s="70"/>
    </row>
    <row r="38">
      <c r="E38" s="33" t="s">
        <v>55</v>
      </c>
      <c r="F38" s="1" t="s">
        <v>56</v>
      </c>
      <c r="H38" s="34"/>
      <c r="I38" s="72"/>
      <c r="J38" s="13"/>
      <c r="K38" s="70"/>
      <c r="L38" s="70"/>
      <c r="M38" s="70"/>
      <c r="N38" s="70"/>
      <c r="O38" s="70"/>
      <c r="P38" s="70"/>
      <c r="Q38" s="70"/>
      <c r="R38" s="13"/>
      <c r="T38" s="20"/>
      <c r="U38" s="20"/>
      <c r="V38" s="20"/>
      <c r="W38" s="20"/>
      <c r="X38" s="13"/>
    </row>
    <row r="39">
      <c r="E39" s="33" t="s">
        <v>40</v>
      </c>
      <c r="F39" s="1" t="s">
        <v>57</v>
      </c>
      <c r="H39" s="34"/>
      <c r="I39" s="20"/>
      <c r="J39" s="13"/>
      <c r="K39" s="25"/>
      <c r="L39" s="25"/>
      <c r="M39" s="25"/>
      <c r="N39" s="25"/>
      <c r="O39" s="25"/>
      <c r="P39" s="25"/>
      <c r="Q39" s="25"/>
      <c r="T39" s="20"/>
      <c r="U39" s="20"/>
      <c r="V39" s="20"/>
      <c r="W39" s="20"/>
      <c r="X39" s="89" t="s">
        <v>127</v>
      </c>
    </row>
    <row r="40">
      <c r="E40" s="33" t="s">
        <v>58</v>
      </c>
      <c r="F40" s="1" t="s">
        <v>59</v>
      </c>
      <c r="H40" s="34"/>
      <c r="I40" s="20"/>
      <c r="J40" s="55"/>
      <c r="K40" s="25"/>
      <c r="L40" s="25"/>
      <c r="M40" s="25"/>
      <c r="N40" s="25"/>
      <c r="O40" s="25"/>
      <c r="P40" s="25"/>
      <c r="Q40" s="25"/>
      <c r="T40" s="20"/>
      <c r="U40" s="20"/>
      <c r="V40" s="20"/>
      <c r="W40" s="20"/>
    </row>
    <row r="41">
      <c r="E41" s="33" t="s">
        <v>60</v>
      </c>
      <c r="F41" s="1" t="s">
        <v>61</v>
      </c>
      <c r="H41" s="34"/>
      <c r="K41" s="25"/>
      <c r="L41" s="25"/>
      <c r="M41" s="25"/>
      <c r="N41" s="25"/>
      <c r="O41" s="20"/>
      <c r="P41" s="20"/>
      <c r="Q41" s="20"/>
    </row>
    <row r="42">
      <c r="E42" s="33" t="s">
        <v>44</v>
      </c>
      <c r="F42" s="1" t="s">
        <v>62</v>
      </c>
      <c r="H42" s="34"/>
    </row>
    <row r="43">
      <c r="E43" s="33" t="s">
        <v>63</v>
      </c>
      <c r="F43" s="1" t="s">
        <v>64</v>
      </c>
      <c r="H43" s="34"/>
    </row>
    <row r="44">
      <c r="E44" s="33" t="s">
        <v>65</v>
      </c>
      <c r="F44" s="1" t="s">
        <v>66</v>
      </c>
      <c r="H44" s="34"/>
    </row>
    <row r="45">
      <c r="E45" s="33" t="s">
        <v>46</v>
      </c>
      <c r="F45" s="1" t="s">
        <v>67</v>
      </c>
      <c r="H45" s="34"/>
    </row>
    <row r="46">
      <c r="E46" s="35" t="s">
        <v>68</v>
      </c>
      <c r="F46" s="36" t="s">
        <v>69</v>
      </c>
      <c r="G46" s="8"/>
      <c r="H46" s="37"/>
    </row>
    <row r="49">
      <c r="E49" s="1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E52" s="69"/>
      <c r="F52" s="69"/>
      <c r="G52" s="69"/>
      <c r="H52" s="69"/>
      <c r="I52" s="69"/>
      <c r="J52" s="69"/>
      <c r="K52" s="69"/>
      <c r="L52" s="60"/>
      <c r="M52" s="60"/>
      <c r="N52" s="60"/>
      <c r="O52" s="60"/>
      <c r="P52" s="61"/>
      <c r="Q52" s="61"/>
      <c r="R52" s="61"/>
      <c r="S52" s="70"/>
      <c r="T52" s="70"/>
      <c r="U52" s="70"/>
    </row>
    <row r="53"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0"/>
      <c r="T53" s="60"/>
      <c r="U53" s="60"/>
    </row>
    <row r="54">
      <c r="E54" s="60"/>
      <c r="F54" s="60"/>
      <c r="G54" s="60"/>
      <c r="H54" s="60"/>
      <c r="I54" s="60"/>
      <c r="J54" s="61"/>
      <c r="K54" s="61"/>
      <c r="L54" s="70"/>
      <c r="M54" s="70"/>
      <c r="N54" s="70"/>
      <c r="O54" s="70"/>
      <c r="P54" s="70"/>
      <c r="Q54" s="70"/>
      <c r="R54" s="70"/>
      <c r="S54" s="70"/>
      <c r="T54" s="70"/>
      <c r="U54" s="70"/>
    </row>
    <row r="5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</sheetData>
  <mergeCells count="17">
    <mergeCell ref="B1:AC3"/>
    <mergeCell ref="B15:AF15"/>
    <mergeCell ref="L22:O22"/>
    <mergeCell ref="E34:H34"/>
    <mergeCell ref="F35:H35"/>
    <mergeCell ref="F36:H36"/>
    <mergeCell ref="F37:H37"/>
    <mergeCell ref="F44:H44"/>
    <mergeCell ref="F45:H45"/>
    <mergeCell ref="F46:H46"/>
    <mergeCell ref="F38:H38"/>
    <mergeCell ref="F39:H39"/>
    <mergeCell ref="X39:AE41"/>
    <mergeCell ref="F40:H40"/>
    <mergeCell ref="F41:H41"/>
    <mergeCell ref="F42:H42"/>
    <mergeCell ref="F43:H43"/>
  </mergeCells>
  <conditionalFormatting sqref="B9:H9 B28:H28 T38:W38 E54:K54">
    <cfRule type="cellIs" dxfId="0" priority="1" operator="equal">
      <formula>"X"</formula>
    </cfRule>
  </conditionalFormatting>
  <conditionalFormatting sqref="B9:H9 B28:H28 T38:W38 E54:K54">
    <cfRule type="cellIs" dxfId="1" priority="2" operator="equal">
      <formula>"D"</formula>
    </cfRule>
  </conditionalFormatting>
  <conditionalFormatting sqref="B9:H9 B28:H28 T38:W38 E54:K54">
    <cfRule type="cellIs" dxfId="2" priority="3" operator="equal">
      <formula>"N"</formula>
    </cfRule>
  </conditionalFormatting>
  <conditionalFormatting sqref="B9:H9 B28:H28 T38:W38 E54:K54">
    <cfRule type="cellIs" dxfId="3" priority="4" operator="equal">
      <formula>"OB"</formula>
    </cfRule>
  </conditionalFormatting>
  <conditionalFormatting sqref="B9:H9 B28:H28 T38:W38 E54:K54">
    <cfRule type="cellIs" dxfId="0" priority="5" operator="equal">
      <formula>"C"</formula>
    </cfRule>
  </conditionalFormatting>
  <conditionalFormatting sqref="B9:H9 B28:H28 T38:W38 E54:K54">
    <cfRule type="cellIs" dxfId="0" priority="6" operator="equal">
      <formula>"AL"</formula>
    </cfRule>
  </conditionalFormatting>
  <conditionalFormatting sqref="B9:H9 B28:H28 T38:W38 E54:K54">
    <cfRule type="cellIs" dxfId="4" priority="7" operator="equal">
      <formula>"UP"</formula>
    </cfRule>
  </conditionalFormatting>
  <conditionalFormatting sqref="B9:H9 B28:H28 T38:W38 E54:K54">
    <cfRule type="cellIs" dxfId="0" priority="8" operator="equal">
      <formula>"S"</formula>
    </cfRule>
  </conditionalFormatting>
  <conditionalFormatting sqref="B9:H9 B28:H28 T38:W38 E54:K54">
    <cfRule type="cellIs" dxfId="5" priority="9" operator="equal">
      <formula>"OC"</formula>
    </cfRule>
  </conditionalFormatting>
  <conditionalFormatting sqref="B9:H9 B28:H28 T38:W38 E54:K54">
    <cfRule type="cellIs" dxfId="6" priority="10" operator="equal">
      <formula>"SPV"</formula>
    </cfRule>
  </conditionalFormatting>
  <conditionalFormatting sqref="B9:H9 B28:H28 T38:W38 E54:K54">
    <cfRule type="cellIs" dxfId="7" priority="11" operator="equal">
      <formula>"INT"</formula>
    </cfRule>
  </conditionalFormatting>
  <conditionalFormatting sqref="B9:H9 B28:H28 T38:W38 E54:K54">
    <cfRule type="cellIs" dxfId="8" priority="12" operator="equal">
      <formula>"T"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0" priority="13" operator="equal">
      <formula>"X"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1" priority="14" operator="equal">
      <formula>"D"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2" priority="15" operator="equal">
      <formula>"N"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3" priority="16" operator="equal">
      <formula>"OB"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0" priority="17" operator="equal">
      <formula>"C"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0" priority="18" operator="equal">
      <formula>"AL"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4" priority="19" operator="equal">
      <formula>"UP"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0" priority="20" operator="equal">
      <formula>"S"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5" priority="21" operator="equal">
      <formula>"OC"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6" priority="22" operator="equal">
      <formula>"SPV"</formula>
    </cfRule>
  </conditionalFormatting>
  <conditionalFormatting sqref="B6:AF12 B16:AF17 E20 B23:AF29 E34:E57 K34:P41 Q34:Q38 S34:AB37 I38:I40 T39:W40 J40 Q41 K45:P55 Q45:Q49 S45:AB48 I49:I55 T50:U55 V50:W51 F51:H55 J51:J55 Q51:S55">
    <cfRule type="cellIs" dxfId="7" priority="23" operator="equal">
      <formula>"INT"</formula>
    </cfRule>
  </conditionalFormatting>
  <conditionalFormatting sqref="B6:AF12 B16:AF17 B23:AF29 K34:P40 Q34:Q38 S34:AB37 T39:W40 J40 E51:U55">
    <cfRule type="cellIs" dxfId="8" priority="24" operator="equal">
      <formula>"T"</formula>
    </cfRule>
  </conditionalFormatting>
  <conditionalFormatting sqref="E45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91" t="s">
        <v>140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92"/>
      <c r="AG3" s="4"/>
      <c r="AH3" s="4"/>
      <c r="AI3" s="4"/>
      <c r="AJ3" s="4"/>
      <c r="AK3" s="4"/>
    </row>
    <row r="4">
      <c r="A4" s="6"/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2</v>
      </c>
      <c r="J4" s="10" t="s">
        <v>3</v>
      </c>
      <c r="K4" s="10" t="s">
        <v>4</v>
      </c>
      <c r="L4" s="10" t="s">
        <v>5</v>
      </c>
      <c r="M4" s="10" t="s">
        <v>6</v>
      </c>
      <c r="N4" s="10" t="s">
        <v>7</v>
      </c>
      <c r="O4" s="10" t="s">
        <v>8</v>
      </c>
      <c r="P4" s="10" t="s">
        <v>2</v>
      </c>
      <c r="Q4" s="10" t="s">
        <v>3</v>
      </c>
      <c r="R4" s="10" t="s">
        <v>4</v>
      </c>
      <c r="S4" s="10" t="s">
        <v>5</v>
      </c>
      <c r="T4" s="10" t="s">
        <v>6</v>
      </c>
      <c r="U4" s="10" t="s">
        <v>7</v>
      </c>
      <c r="V4" s="10" t="s">
        <v>8</v>
      </c>
      <c r="W4" s="10" t="s">
        <v>2</v>
      </c>
      <c r="X4" s="10" t="s">
        <v>3</v>
      </c>
      <c r="Y4" s="10" t="s">
        <v>4</v>
      </c>
      <c r="Z4" s="10" t="s">
        <v>5</v>
      </c>
      <c r="AA4" s="10" t="s">
        <v>6</v>
      </c>
      <c r="AB4" s="10" t="s">
        <v>7</v>
      </c>
      <c r="AC4" s="10" t="s">
        <v>8</v>
      </c>
      <c r="AD4" s="10" t="s">
        <v>2</v>
      </c>
      <c r="AE4" s="13" t="s">
        <v>3</v>
      </c>
      <c r="AF4" s="13" t="s">
        <v>4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44" t="s">
        <v>38</v>
      </c>
      <c r="AH5" s="45" t="s">
        <v>39</v>
      </c>
      <c r="AI5" s="46" t="s">
        <v>40</v>
      </c>
      <c r="AJ5" s="48" t="s">
        <v>42</v>
      </c>
      <c r="AK5" s="54" t="s">
        <v>76</v>
      </c>
    </row>
    <row r="6">
      <c r="A6" s="19" t="s">
        <v>137</v>
      </c>
      <c r="B6" s="71" t="s">
        <v>38</v>
      </c>
      <c r="C6" s="71" t="s">
        <v>40</v>
      </c>
      <c r="D6" s="71" t="s">
        <v>40</v>
      </c>
      <c r="E6" s="71" t="s">
        <v>38</v>
      </c>
      <c r="F6" s="71" t="s">
        <v>40</v>
      </c>
      <c r="G6" s="71" t="s">
        <v>38</v>
      </c>
      <c r="H6" s="71" t="s">
        <v>40</v>
      </c>
      <c r="I6" s="71" t="s">
        <v>38</v>
      </c>
      <c r="J6" s="71" t="s">
        <v>40</v>
      </c>
      <c r="K6" s="71" t="s">
        <v>38</v>
      </c>
      <c r="L6" s="71" t="s">
        <v>40</v>
      </c>
      <c r="M6" s="71" t="s">
        <v>38</v>
      </c>
      <c r="N6" s="71" t="s">
        <v>38</v>
      </c>
      <c r="O6" s="71" t="s">
        <v>40</v>
      </c>
      <c r="P6" s="71" t="s">
        <v>40</v>
      </c>
      <c r="Q6" s="71" t="s">
        <v>39</v>
      </c>
      <c r="R6" s="71" t="s">
        <v>39</v>
      </c>
      <c r="S6" s="71" t="s">
        <v>40</v>
      </c>
      <c r="T6" s="71" t="s">
        <v>40</v>
      </c>
      <c r="U6" s="71" t="s">
        <v>39</v>
      </c>
      <c r="V6" s="71" t="s">
        <v>39</v>
      </c>
      <c r="W6" s="71" t="s">
        <v>40</v>
      </c>
      <c r="X6" s="71" t="s">
        <v>40</v>
      </c>
      <c r="Y6" s="71" t="s">
        <v>39</v>
      </c>
      <c r="Z6" s="71" t="s">
        <v>39</v>
      </c>
      <c r="AA6" s="71" t="s">
        <v>40</v>
      </c>
      <c r="AB6" s="71" t="s">
        <v>40</v>
      </c>
      <c r="AC6" s="71" t="s">
        <v>39</v>
      </c>
      <c r="AD6" s="71" t="s">
        <v>39</v>
      </c>
      <c r="AE6" s="71" t="s">
        <v>40</v>
      </c>
      <c r="AF6" s="71" t="s">
        <v>40</v>
      </c>
      <c r="AG6" s="49">
        <f t="shared" ref="AG6:AG11" si="1">COUNTIF(B6:AF6,"D")</f>
        <v>7</v>
      </c>
      <c r="AH6" s="49">
        <f t="shared" ref="AH6:AH11" si="2">COUNTIF(B6:AF6,"N")</f>
        <v>8</v>
      </c>
      <c r="AI6" s="49">
        <f t="shared" ref="AI6:AI11" si="3">COUNTIF(B6:AF6,"X")</f>
        <v>16</v>
      </c>
      <c r="AJ6" s="49">
        <f t="shared" ref="AJ6:AJ11" si="4">AG6+AH6</f>
        <v>15</v>
      </c>
      <c r="AK6" s="84">
        <f t="shared" ref="AK6:AK11" si="5">(AJ6*12)/4.2</f>
        <v>42.85714286</v>
      </c>
    </row>
    <row r="7">
      <c r="A7" s="19" t="s">
        <v>43</v>
      </c>
      <c r="B7" s="69" t="s">
        <v>39</v>
      </c>
      <c r="C7" s="69" t="s">
        <v>40</v>
      </c>
      <c r="D7" s="69" t="s">
        <v>40</v>
      </c>
      <c r="E7" s="69" t="s">
        <v>39</v>
      </c>
      <c r="F7" s="69" t="s">
        <v>39</v>
      </c>
      <c r="G7" s="69" t="s">
        <v>40</v>
      </c>
      <c r="H7" s="69" t="s">
        <v>40</v>
      </c>
      <c r="I7" s="60" t="s">
        <v>39</v>
      </c>
      <c r="J7" s="60" t="s">
        <v>39</v>
      </c>
      <c r="K7" s="60" t="s">
        <v>40</v>
      </c>
      <c r="L7" s="60" t="s">
        <v>40</v>
      </c>
      <c r="M7" s="61" t="s">
        <v>39</v>
      </c>
      <c r="N7" s="61" t="s">
        <v>60</v>
      </c>
      <c r="O7" s="61" t="s">
        <v>40</v>
      </c>
      <c r="P7" s="70" t="s">
        <v>40</v>
      </c>
      <c r="Q7" s="70" t="s">
        <v>38</v>
      </c>
      <c r="R7" s="70" t="s">
        <v>38</v>
      </c>
      <c r="S7" s="70" t="s">
        <v>38</v>
      </c>
      <c r="T7" s="70" t="s">
        <v>40</v>
      </c>
      <c r="U7" s="70" t="s">
        <v>38</v>
      </c>
      <c r="V7" s="70" t="s">
        <v>38</v>
      </c>
      <c r="W7" s="71" t="s">
        <v>44</v>
      </c>
      <c r="X7" s="70" t="s">
        <v>44</v>
      </c>
      <c r="Y7" s="71" t="s">
        <v>44</v>
      </c>
      <c r="Z7" s="71" t="s">
        <v>44</v>
      </c>
      <c r="AA7" s="71" t="s">
        <v>44</v>
      </c>
      <c r="AB7" s="71" t="s">
        <v>40</v>
      </c>
      <c r="AC7" s="71" t="s">
        <v>40</v>
      </c>
      <c r="AD7" s="71" t="s">
        <v>38</v>
      </c>
      <c r="AE7" s="71" t="s">
        <v>38</v>
      </c>
      <c r="AF7" s="71" t="s">
        <v>40</v>
      </c>
      <c r="AG7" s="49">
        <f t="shared" si="1"/>
        <v>7</v>
      </c>
      <c r="AH7" s="49">
        <f t="shared" si="2"/>
        <v>6</v>
      </c>
      <c r="AI7" s="49">
        <f t="shared" si="3"/>
        <v>12</v>
      </c>
      <c r="AJ7" s="49">
        <f t="shared" si="4"/>
        <v>13</v>
      </c>
      <c r="AK7" s="84">
        <f t="shared" si="5"/>
        <v>37.14285714</v>
      </c>
    </row>
    <row r="8">
      <c r="A8" s="13" t="s">
        <v>138</v>
      </c>
      <c r="B8" s="69" t="s">
        <v>40</v>
      </c>
      <c r="C8" s="69" t="s">
        <v>39</v>
      </c>
      <c r="D8" s="69" t="s">
        <v>39</v>
      </c>
      <c r="E8" s="69" t="s">
        <v>40</v>
      </c>
      <c r="F8" s="69" t="s">
        <v>40</v>
      </c>
      <c r="G8" s="69" t="s">
        <v>39</v>
      </c>
      <c r="H8" s="69" t="s">
        <v>39</v>
      </c>
      <c r="I8" s="69" t="s">
        <v>40</v>
      </c>
      <c r="J8" s="69" t="s">
        <v>40</v>
      </c>
      <c r="K8" s="69" t="s">
        <v>39</v>
      </c>
      <c r="L8" s="69" t="s">
        <v>39</v>
      </c>
      <c r="M8" s="69" t="s">
        <v>40</v>
      </c>
      <c r="N8" s="69" t="s">
        <v>39</v>
      </c>
      <c r="O8" s="69" t="s">
        <v>39</v>
      </c>
      <c r="P8" s="60" t="s">
        <v>39</v>
      </c>
      <c r="Q8" s="60" t="s">
        <v>40</v>
      </c>
      <c r="R8" s="60" t="s">
        <v>40</v>
      </c>
      <c r="S8" s="60" t="s">
        <v>39</v>
      </c>
      <c r="T8" s="60" t="s">
        <v>39</v>
      </c>
      <c r="U8" s="61" t="s">
        <v>40</v>
      </c>
      <c r="V8" s="61" t="s">
        <v>40</v>
      </c>
      <c r="W8" s="70" t="s">
        <v>38</v>
      </c>
      <c r="X8" s="1" t="s">
        <v>60</v>
      </c>
      <c r="Y8" s="70" t="s">
        <v>40</v>
      </c>
      <c r="Z8" s="70" t="s">
        <v>40</v>
      </c>
      <c r="AA8" s="70" t="s">
        <v>39</v>
      </c>
      <c r="AB8" s="70" t="s">
        <v>39</v>
      </c>
      <c r="AC8" s="70" t="s">
        <v>40</v>
      </c>
      <c r="AD8" s="70" t="s">
        <v>40</v>
      </c>
      <c r="AE8" s="70" t="s">
        <v>40</v>
      </c>
      <c r="AF8" s="70" t="s">
        <v>38</v>
      </c>
      <c r="AG8" s="49">
        <f t="shared" si="1"/>
        <v>2</v>
      </c>
      <c r="AH8" s="49">
        <f t="shared" si="2"/>
        <v>13</v>
      </c>
      <c r="AI8" s="49">
        <f t="shared" si="3"/>
        <v>15</v>
      </c>
      <c r="AJ8" s="49">
        <f t="shared" si="4"/>
        <v>15</v>
      </c>
      <c r="AK8" s="84">
        <f t="shared" si="5"/>
        <v>42.85714286</v>
      </c>
    </row>
    <row r="9">
      <c r="A9" s="13" t="s">
        <v>48</v>
      </c>
      <c r="B9" s="60" t="s">
        <v>40</v>
      </c>
      <c r="C9" s="60" t="s">
        <v>38</v>
      </c>
      <c r="D9" s="60" t="s">
        <v>38</v>
      </c>
      <c r="E9" s="60" t="s">
        <v>40</v>
      </c>
      <c r="F9" s="60" t="s">
        <v>38</v>
      </c>
      <c r="G9" s="61" t="s">
        <v>40</v>
      </c>
      <c r="H9" s="61" t="s">
        <v>68</v>
      </c>
      <c r="I9" s="70" t="s">
        <v>40</v>
      </c>
      <c r="J9" s="70" t="s">
        <v>38</v>
      </c>
      <c r="K9" s="70" t="s">
        <v>40</v>
      </c>
      <c r="L9" s="70" t="s">
        <v>38</v>
      </c>
      <c r="M9" s="70" t="s">
        <v>40</v>
      </c>
      <c r="N9" s="70" t="s">
        <v>40</v>
      </c>
      <c r="O9" s="70" t="s">
        <v>38</v>
      </c>
      <c r="P9" s="70" t="s">
        <v>44</v>
      </c>
      <c r="Q9" s="70" t="s">
        <v>44</v>
      </c>
      <c r="R9" s="70" t="s">
        <v>44</v>
      </c>
      <c r="S9" s="70" t="s">
        <v>44</v>
      </c>
      <c r="T9" s="70" t="s">
        <v>44</v>
      </c>
      <c r="U9" s="70" t="s">
        <v>40</v>
      </c>
      <c r="V9" s="70" t="s">
        <v>40</v>
      </c>
      <c r="W9" s="60" t="s">
        <v>39</v>
      </c>
      <c r="X9" s="60" t="s">
        <v>39</v>
      </c>
      <c r="Y9" s="60" t="s">
        <v>40</v>
      </c>
      <c r="Z9" s="60" t="s">
        <v>40</v>
      </c>
      <c r="AA9" s="60" t="s">
        <v>38</v>
      </c>
      <c r="AB9" s="61" t="s">
        <v>38</v>
      </c>
      <c r="AC9" s="61" t="s">
        <v>38</v>
      </c>
      <c r="AD9" s="61" t="s">
        <v>40</v>
      </c>
      <c r="AE9" s="61" t="s">
        <v>39</v>
      </c>
      <c r="AF9" s="61" t="s">
        <v>39</v>
      </c>
      <c r="AG9" s="49">
        <f t="shared" si="1"/>
        <v>9</v>
      </c>
      <c r="AH9" s="49">
        <f t="shared" si="2"/>
        <v>4</v>
      </c>
      <c r="AI9" s="49">
        <f t="shared" si="3"/>
        <v>12</v>
      </c>
      <c r="AJ9" s="49">
        <f t="shared" si="4"/>
        <v>13</v>
      </c>
      <c r="AK9" s="84">
        <f t="shared" si="5"/>
        <v>37.14285714</v>
      </c>
    </row>
    <row r="10">
      <c r="A10" s="88" t="s">
        <v>47</v>
      </c>
      <c r="B10" s="69"/>
      <c r="C10" s="69"/>
      <c r="D10" s="69" t="s">
        <v>68</v>
      </c>
      <c r="E10" s="69"/>
      <c r="F10" s="69"/>
      <c r="G10" s="69"/>
      <c r="H10" s="69" t="s">
        <v>38</v>
      </c>
      <c r="I10" s="69" t="s">
        <v>68</v>
      </c>
      <c r="J10" s="69"/>
      <c r="K10" s="69"/>
      <c r="L10" s="69"/>
      <c r="M10" s="69"/>
      <c r="N10" s="69"/>
      <c r="O10" s="69"/>
      <c r="P10" s="69" t="s">
        <v>38</v>
      </c>
      <c r="Q10" s="69"/>
      <c r="R10" s="69"/>
      <c r="S10" s="69" t="s">
        <v>68</v>
      </c>
      <c r="T10" s="69" t="s">
        <v>38</v>
      </c>
      <c r="U10" s="69"/>
      <c r="V10" s="69"/>
      <c r="W10" s="70"/>
      <c r="X10" s="70" t="s">
        <v>38</v>
      </c>
      <c r="Y10" s="70" t="s">
        <v>38</v>
      </c>
      <c r="Z10" s="70" t="s">
        <v>38</v>
      </c>
      <c r="AA10" s="70"/>
      <c r="AB10" s="70"/>
      <c r="AC10" s="70"/>
      <c r="AD10" s="70"/>
      <c r="AE10" s="70"/>
      <c r="AF10" s="70"/>
      <c r="AG10" s="49">
        <f t="shared" si="1"/>
        <v>6</v>
      </c>
      <c r="AH10" s="49">
        <f t="shared" si="2"/>
        <v>0</v>
      </c>
      <c r="AI10" s="49">
        <f t="shared" si="3"/>
        <v>0</v>
      </c>
      <c r="AJ10" s="49">
        <f t="shared" si="4"/>
        <v>6</v>
      </c>
      <c r="AK10" s="84">
        <f t="shared" si="5"/>
        <v>17.14285714</v>
      </c>
    </row>
    <row r="11">
      <c r="A11" s="13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49">
        <f t="shared" si="1"/>
        <v>0</v>
      </c>
      <c r="AH11" s="49">
        <f t="shared" si="2"/>
        <v>0</v>
      </c>
      <c r="AI11" s="49">
        <f t="shared" si="3"/>
        <v>0</v>
      </c>
      <c r="AJ11" s="49">
        <f t="shared" si="4"/>
        <v>0</v>
      </c>
      <c r="AK11" s="84">
        <f t="shared" si="5"/>
        <v>0</v>
      </c>
    </row>
    <row r="12">
      <c r="A12" s="23" t="s">
        <v>49</v>
      </c>
      <c r="B12" s="24">
        <f t="shared" ref="B12:AF12" si="6">COUNTIF(B6:B11,"D")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1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1</v>
      </c>
      <c r="AB12" s="24">
        <f t="shared" si="6"/>
        <v>1</v>
      </c>
      <c r="AC12" s="24">
        <f t="shared" si="6"/>
        <v>1</v>
      </c>
      <c r="AD12" s="24">
        <f t="shared" si="6"/>
        <v>1</v>
      </c>
      <c r="AE12" s="24">
        <f t="shared" si="6"/>
        <v>1</v>
      </c>
      <c r="AF12" s="24">
        <f t="shared" si="6"/>
        <v>1</v>
      </c>
      <c r="AJ12" s="49"/>
    </row>
    <row r="13">
      <c r="A13" s="26" t="s">
        <v>50</v>
      </c>
      <c r="B13" s="27">
        <f t="shared" ref="B13:AF13" si="7">COUNTIF(B6:B11,"N")</f>
        <v>1</v>
      </c>
      <c r="C13" s="27">
        <f t="shared" si="7"/>
        <v>1</v>
      </c>
      <c r="D13" s="27">
        <f t="shared" si="7"/>
        <v>1</v>
      </c>
      <c r="E13" s="27">
        <f t="shared" si="7"/>
        <v>1</v>
      </c>
      <c r="F13" s="27">
        <f t="shared" si="7"/>
        <v>1</v>
      </c>
      <c r="G13" s="27">
        <f t="shared" si="7"/>
        <v>1</v>
      </c>
      <c r="H13" s="27">
        <f t="shared" si="7"/>
        <v>1</v>
      </c>
      <c r="I13" s="27">
        <f t="shared" si="7"/>
        <v>1</v>
      </c>
      <c r="J13" s="27">
        <f t="shared" si="7"/>
        <v>1</v>
      </c>
      <c r="K13" s="27">
        <f t="shared" si="7"/>
        <v>1</v>
      </c>
      <c r="L13" s="27">
        <f t="shared" si="7"/>
        <v>1</v>
      </c>
      <c r="M13" s="27">
        <f t="shared" si="7"/>
        <v>1</v>
      </c>
      <c r="N13" s="27">
        <f t="shared" si="7"/>
        <v>1</v>
      </c>
      <c r="O13" s="27">
        <f t="shared" si="7"/>
        <v>1</v>
      </c>
      <c r="P13" s="27">
        <f t="shared" si="7"/>
        <v>1</v>
      </c>
      <c r="Q13" s="27">
        <f t="shared" si="7"/>
        <v>1</v>
      </c>
      <c r="R13" s="27">
        <f t="shared" si="7"/>
        <v>1</v>
      </c>
      <c r="S13" s="27">
        <f t="shared" si="7"/>
        <v>1</v>
      </c>
      <c r="T13" s="27">
        <f t="shared" si="7"/>
        <v>1</v>
      </c>
      <c r="U13" s="27">
        <f t="shared" si="7"/>
        <v>1</v>
      </c>
      <c r="V13" s="27">
        <f t="shared" si="7"/>
        <v>1</v>
      </c>
      <c r="W13" s="27">
        <f t="shared" si="7"/>
        <v>1</v>
      </c>
      <c r="X13" s="27">
        <f t="shared" si="7"/>
        <v>1</v>
      </c>
      <c r="Y13" s="27">
        <f t="shared" si="7"/>
        <v>1</v>
      </c>
      <c r="Z13" s="27">
        <f t="shared" si="7"/>
        <v>1</v>
      </c>
      <c r="AA13" s="27">
        <f t="shared" si="7"/>
        <v>1</v>
      </c>
      <c r="AB13" s="27">
        <f t="shared" si="7"/>
        <v>1</v>
      </c>
      <c r="AC13" s="27">
        <f t="shared" si="7"/>
        <v>1</v>
      </c>
      <c r="AD13" s="27">
        <f t="shared" si="7"/>
        <v>1</v>
      </c>
      <c r="AE13" s="27">
        <f t="shared" si="7"/>
        <v>1</v>
      </c>
      <c r="AF13" s="27">
        <f t="shared" si="7"/>
        <v>1</v>
      </c>
    </row>
    <row r="14">
      <c r="B14" s="85" t="s">
        <v>120</v>
      </c>
      <c r="AG14" s="44" t="s">
        <v>38</v>
      </c>
      <c r="AH14" s="45" t="s">
        <v>39</v>
      </c>
      <c r="AI14" s="46" t="s">
        <v>40</v>
      </c>
      <c r="AJ14" s="48" t="s">
        <v>42</v>
      </c>
      <c r="AK14" s="54" t="s">
        <v>76</v>
      </c>
    </row>
    <row r="15">
      <c r="A15" s="13" t="s">
        <v>104</v>
      </c>
      <c r="B15" s="69" t="s">
        <v>39</v>
      </c>
      <c r="C15" s="69" t="s">
        <v>39</v>
      </c>
      <c r="D15" s="69" t="s">
        <v>39</v>
      </c>
      <c r="E15" s="69" t="s">
        <v>39</v>
      </c>
      <c r="F15" s="69" t="s">
        <v>39</v>
      </c>
      <c r="G15" s="69" t="s">
        <v>40</v>
      </c>
      <c r="H15" s="69" t="s">
        <v>40</v>
      </c>
      <c r="I15" s="69" t="s">
        <v>38</v>
      </c>
      <c r="J15" s="69" t="s">
        <v>38</v>
      </c>
      <c r="K15" s="69" t="s">
        <v>38</v>
      </c>
      <c r="L15" s="69" t="s">
        <v>38</v>
      </c>
      <c r="M15" s="69" t="s">
        <v>38</v>
      </c>
      <c r="N15" s="69" t="s">
        <v>40</v>
      </c>
      <c r="O15" s="69" t="s">
        <v>40</v>
      </c>
      <c r="P15" s="69" t="s">
        <v>38</v>
      </c>
      <c r="Q15" s="69" t="s">
        <v>38</v>
      </c>
      <c r="R15" s="69" t="s">
        <v>38</v>
      </c>
      <c r="S15" s="69" t="s">
        <v>38</v>
      </c>
      <c r="T15" s="69" t="s">
        <v>38</v>
      </c>
      <c r="U15" s="69" t="s">
        <v>40</v>
      </c>
      <c r="V15" s="69" t="s">
        <v>40</v>
      </c>
      <c r="W15" s="69" t="s">
        <v>44</v>
      </c>
      <c r="X15" s="69" t="s">
        <v>44</v>
      </c>
      <c r="Y15" s="69" t="s">
        <v>44</v>
      </c>
      <c r="Z15" s="69" t="s">
        <v>44</v>
      </c>
      <c r="AA15" s="69" t="s">
        <v>44</v>
      </c>
      <c r="AB15" s="69" t="s">
        <v>40</v>
      </c>
      <c r="AC15" s="69" t="s">
        <v>40</v>
      </c>
      <c r="AD15" s="69" t="s">
        <v>44</v>
      </c>
      <c r="AE15" s="69" t="s">
        <v>44</v>
      </c>
      <c r="AF15" s="69" t="s">
        <v>44</v>
      </c>
      <c r="AG15" s="49">
        <f t="shared" ref="AG15:AG17" si="8">COUNTIF(B15:AF15,"D")</f>
        <v>10</v>
      </c>
      <c r="AH15" s="49">
        <f t="shared" ref="AH15:AH17" si="9">COUNTIF(B15:AF15,"N")</f>
        <v>5</v>
      </c>
      <c r="AI15" s="49">
        <f t="shared" ref="AI15:AI17" si="10">COUNTIF(B15:AF15,"X")</f>
        <v>8</v>
      </c>
      <c r="AJ15" s="49">
        <f t="shared" ref="AJ15:AJ17" si="11">AG15+AH15</f>
        <v>15</v>
      </c>
      <c r="AK15" s="84">
        <f t="shared" ref="AK15:AK17" si="12">(AJ15*10)/4</f>
        <v>37.5</v>
      </c>
    </row>
    <row r="16">
      <c r="A16" s="13" t="s">
        <v>121</v>
      </c>
      <c r="B16" s="69" t="s">
        <v>38</v>
      </c>
      <c r="C16" s="69" t="s">
        <v>38</v>
      </c>
      <c r="D16" s="69" t="s">
        <v>38</v>
      </c>
      <c r="E16" s="69" t="s">
        <v>38</v>
      </c>
      <c r="F16" s="69" t="s">
        <v>38</v>
      </c>
      <c r="G16" s="69" t="s">
        <v>40</v>
      </c>
      <c r="H16" s="69" t="s">
        <v>40</v>
      </c>
      <c r="I16" s="69" t="s">
        <v>39</v>
      </c>
      <c r="J16" s="69" t="s">
        <v>39</v>
      </c>
      <c r="K16" s="69" t="s">
        <v>39</v>
      </c>
      <c r="L16" s="69" t="s">
        <v>39</v>
      </c>
      <c r="M16" s="69" t="s">
        <v>39</v>
      </c>
      <c r="N16" s="69" t="s">
        <v>40</v>
      </c>
      <c r="O16" s="69" t="s">
        <v>40</v>
      </c>
      <c r="P16" s="69" t="s">
        <v>39</v>
      </c>
      <c r="Q16" s="69" t="s">
        <v>39</v>
      </c>
      <c r="R16" s="69" t="s">
        <v>39</v>
      </c>
      <c r="S16" s="69" t="s">
        <v>39</v>
      </c>
      <c r="T16" s="69" t="s">
        <v>39</v>
      </c>
      <c r="U16" s="69" t="s">
        <v>40</v>
      </c>
      <c r="V16" s="69" t="s">
        <v>40</v>
      </c>
      <c r="W16" s="69" t="s">
        <v>38</v>
      </c>
      <c r="X16" s="69" t="s">
        <v>38</v>
      </c>
      <c r="Y16" s="69" t="s">
        <v>38</v>
      </c>
      <c r="Z16" s="69" t="s">
        <v>40</v>
      </c>
      <c r="AA16" s="69" t="s">
        <v>40</v>
      </c>
      <c r="AB16" s="69" t="s">
        <v>40</v>
      </c>
      <c r="AC16" s="69" t="s">
        <v>40</v>
      </c>
      <c r="AD16" s="69" t="s">
        <v>38</v>
      </c>
      <c r="AE16" s="69" t="s">
        <v>38</v>
      </c>
      <c r="AF16" s="69" t="s">
        <v>38</v>
      </c>
      <c r="AG16" s="49">
        <f t="shared" si="8"/>
        <v>11</v>
      </c>
      <c r="AH16" s="49">
        <f t="shared" si="9"/>
        <v>10</v>
      </c>
      <c r="AI16" s="49">
        <f t="shared" si="10"/>
        <v>10</v>
      </c>
      <c r="AJ16" s="49">
        <f t="shared" si="11"/>
        <v>21</v>
      </c>
      <c r="AK16" s="84">
        <f t="shared" si="12"/>
        <v>52.5</v>
      </c>
    </row>
    <row r="17">
      <c r="A17" s="13" t="s">
        <v>141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 t="s">
        <v>39</v>
      </c>
      <c r="X17" s="69" t="s">
        <v>39</v>
      </c>
      <c r="Y17" s="69" t="s">
        <v>39</v>
      </c>
      <c r="Z17" s="69" t="s">
        <v>39</v>
      </c>
      <c r="AA17" s="69" t="s">
        <v>39</v>
      </c>
      <c r="AB17" s="69" t="s">
        <v>40</v>
      </c>
      <c r="AC17" s="69" t="s">
        <v>40</v>
      </c>
      <c r="AD17" s="69" t="s">
        <v>39</v>
      </c>
      <c r="AE17" s="69" t="s">
        <v>39</v>
      </c>
      <c r="AF17" s="69" t="s">
        <v>39</v>
      </c>
      <c r="AG17" s="49">
        <f t="shared" si="8"/>
        <v>0</v>
      </c>
      <c r="AH17" s="49">
        <f t="shared" si="9"/>
        <v>8</v>
      </c>
      <c r="AI17" s="49">
        <f t="shared" si="10"/>
        <v>2</v>
      </c>
      <c r="AJ17" s="49">
        <f t="shared" si="11"/>
        <v>8</v>
      </c>
      <c r="AK17" s="84">
        <f t="shared" si="12"/>
        <v>20</v>
      </c>
    </row>
    <row r="18">
      <c r="A18" s="23" t="s">
        <v>49</v>
      </c>
      <c r="B18" s="24">
        <f t="shared" ref="B18:AF18" si="13">COUNTIF(B15:B17,"D")</f>
        <v>1</v>
      </c>
      <c r="C18" s="24">
        <f t="shared" si="13"/>
        <v>1</v>
      </c>
      <c r="D18" s="24">
        <f t="shared" si="13"/>
        <v>1</v>
      </c>
      <c r="E18" s="24">
        <f t="shared" si="13"/>
        <v>1</v>
      </c>
      <c r="F18" s="24">
        <f t="shared" si="13"/>
        <v>1</v>
      </c>
      <c r="G18" s="24">
        <f t="shared" si="13"/>
        <v>0</v>
      </c>
      <c r="H18" s="24">
        <f t="shared" si="13"/>
        <v>0</v>
      </c>
      <c r="I18" s="24">
        <f t="shared" si="13"/>
        <v>1</v>
      </c>
      <c r="J18" s="24">
        <f t="shared" si="13"/>
        <v>1</v>
      </c>
      <c r="K18" s="24">
        <f t="shared" si="13"/>
        <v>1</v>
      </c>
      <c r="L18" s="24">
        <f t="shared" si="13"/>
        <v>1</v>
      </c>
      <c r="M18" s="24">
        <f t="shared" si="13"/>
        <v>1</v>
      </c>
      <c r="N18" s="24">
        <f t="shared" si="13"/>
        <v>0</v>
      </c>
      <c r="O18" s="24">
        <f t="shared" si="13"/>
        <v>0</v>
      </c>
      <c r="P18" s="24">
        <f t="shared" si="13"/>
        <v>1</v>
      </c>
      <c r="Q18" s="24">
        <f t="shared" si="13"/>
        <v>1</v>
      </c>
      <c r="R18" s="24">
        <f t="shared" si="13"/>
        <v>1</v>
      </c>
      <c r="S18" s="24">
        <f t="shared" si="13"/>
        <v>1</v>
      </c>
      <c r="T18" s="24">
        <f t="shared" si="13"/>
        <v>1</v>
      </c>
      <c r="U18" s="24">
        <f t="shared" si="13"/>
        <v>0</v>
      </c>
      <c r="V18" s="24">
        <f t="shared" si="13"/>
        <v>0</v>
      </c>
      <c r="W18" s="24">
        <f t="shared" si="13"/>
        <v>1</v>
      </c>
      <c r="X18" s="24">
        <f t="shared" si="13"/>
        <v>1</v>
      </c>
      <c r="Y18" s="24">
        <f t="shared" si="13"/>
        <v>1</v>
      </c>
      <c r="Z18" s="24">
        <f t="shared" si="13"/>
        <v>0</v>
      </c>
      <c r="AA18" s="24">
        <f t="shared" si="13"/>
        <v>0</v>
      </c>
      <c r="AB18" s="24">
        <f t="shared" si="13"/>
        <v>0</v>
      </c>
      <c r="AC18" s="24">
        <f t="shared" si="13"/>
        <v>0</v>
      </c>
      <c r="AD18" s="24">
        <f t="shared" si="13"/>
        <v>1</v>
      </c>
      <c r="AE18" s="24">
        <f t="shared" si="13"/>
        <v>1</v>
      </c>
      <c r="AF18" s="24">
        <f t="shared" si="13"/>
        <v>1</v>
      </c>
      <c r="AG18" s="53"/>
      <c r="AH18" s="53"/>
      <c r="AI18" s="53"/>
      <c r="AJ18" s="53"/>
      <c r="AK18" s="53"/>
    </row>
    <row r="19">
      <c r="A19" s="26" t="s">
        <v>50</v>
      </c>
      <c r="B19" s="27">
        <f t="shared" ref="B19:AF19" si="14">COUNTIF(B15:B17,"N")</f>
        <v>1</v>
      </c>
      <c r="C19" s="27">
        <f t="shared" si="14"/>
        <v>1</v>
      </c>
      <c r="D19" s="27">
        <f t="shared" si="14"/>
        <v>1</v>
      </c>
      <c r="E19" s="27">
        <f t="shared" si="14"/>
        <v>1</v>
      </c>
      <c r="F19" s="27">
        <f t="shared" si="14"/>
        <v>1</v>
      </c>
      <c r="G19" s="27">
        <f t="shared" si="14"/>
        <v>0</v>
      </c>
      <c r="H19" s="27">
        <f t="shared" si="14"/>
        <v>0</v>
      </c>
      <c r="I19" s="27">
        <f t="shared" si="14"/>
        <v>1</v>
      </c>
      <c r="J19" s="27">
        <f t="shared" si="14"/>
        <v>1</v>
      </c>
      <c r="K19" s="27">
        <f t="shared" si="14"/>
        <v>1</v>
      </c>
      <c r="L19" s="27">
        <f t="shared" si="14"/>
        <v>1</v>
      </c>
      <c r="M19" s="27">
        <f t="shared" si="14"/>
        <v>1</v>
      </c>
      <c r="N19" s="27">
        <f t="shared" si="14"/>
        <v>0</v>
      </c>
      <c r="O19" s="27">
        <f t="shared" si="14"/>
        <v>0</v>
      </c>
      <c r="P19" s="27">
        <f t="shared" si="14"/>
        <v>1</v>
      </c>
      <c r="Q19" s="27">
        <f t="shared" si="14"/>
        <v>1</v>
      </c>
      <c r="R19" s="27">
        <f t="shared" si="14"/>
        <v>1</v>
      </c>
      <c r="S19" s="27">
        <f t="shared" si="14"/>
        <v>1</v>
      </c>
      <c r="T19" s="27">
        <f t="shared" si="14"/>
        <v>1</v>
      </c>
      <c r="U19" s="27">
        <f t="shared" si="14"/>
        <v>0</v>
      </c>
      <c r="V19" s="27">
        <f t="shared" si="14"/>
        <v>0</v>
      </c>
      <c r="W19" s="27">
        <f t="shared" si="14"/>
        <v>1</v>
      </c>
      <c r="X19" s="27">
        <f t="shared" si="14"/>
        <v>1</v>
      </c>
      <c r="Y19" s="27">
        <f t="shared" si="14"/>
        <v>1</v>
      </c>
      <c r="Z19" s="27">
        <f t="shared" si="14"/>
        <v>1</v>
      </c>
      <c r="AA19" s="27">
        <f t="shared" si="14"/>
        <v>1</v>
      </c>
      <c r="AB19" s="27">
        <f t="shared" si="14"/>
        <v>0</v>
      </c>
      <c r="AC19" s="27">
        <f t="shared" si="14"/>
        <v>0</v>
      </c>
      <c r="AD19" s="27">
        <f t="shared" si="14"/>
        <v>1</v>
      </c>
      <c r="AE19" s="27">
        <f t="shared" si="14"/>
        <v>1</v>
      </c>
      <c r="AF19" s="27">
        <f t="shared" si="14"/>
        <v>1</v>
      </c>
      <c r="AG19" s="22"/>
      <c r="AH19" s="22"/>
      <c r="AI19" s="22"/>
      <c r="AJ19" s="22"/>
      <c r="AK19" s="22"/>
    </row>
    <row r="20">
      <c r="I20" s="28"/>
      <c r="J20" s="11"/>
      <c r="K20" s="68"/>
      <c r="L20" s="68"/>
      <c r="M20" s="68"/>
      <c r="N20" s="68"/>
      <c r="O20" s="68"/>
      <c r="P20" s="68"/>
      <c r="Q20" s="68"/>
      <c r="R20" s="11"/>
      <c r="S20" s="11"/>
      <c r="T20" s="11"/>
      <c r="U20" s="11"/>
      <c r="V20" s="43" t="s">
        <v>0</v>
      </c>
      <c r="W20" s="11"/>
      <c r="AG20" s="22"/>
      <c r="AH20" s="22"/>
      <c r="AI20" s="22"/>
      <c r="AJ20" s="22"/>
      <c r="AK20" s="22"/>
    </row>
    <row r="22">
      <c r="A22" s="6"/>
      <c r="B22" s="11"/>
      <c r="C22" s="29" t="s">
        <v>51</v>
      </c>
      <c r="D22" s="30"/>
      <c r="E22" s="30"/>
      <c r="F22" s="31"/>
      <c r="H22" s="13"/>
      <c r="I22" s="71"/>
      <c r="J22" s="71"/>
      <c r="K22" s="71"/>
      <c r="L22" s="71"/>
      <c r="M22" s="71"/>
      <c r="N22" s="71"/>
      <c r="O22" s="71"/>
      <c r="P22" s="19"/>
      <c r="Q22" s="70"/>
      <c r="R22" s="70"/>
      <c r="S22" s="70"/>
      <c r="T22" s="71"/>
      <c r="U22" s="71"/>
      <c r="V22" s="71"/>
      <c r="W22" s="71"/>
      <c r="X22" s="71"/>
      <c r="Y22" s="71"/>
      <c r="Z22" s="71"/>
    </row>
    <row r="23">
      <c r="A23" s="6"/>
      <c r="B23" s="87"/>
      <c r="C23" s="33" t="s">
        <v>38</v>
      </c>
      <c r="D23" s="1" t="s">
        <v>52</v>
      </c>
      <c r="F23" s="34"/>
      <c r="I23" s="70"/>
      <c r="J23" s="70"/>
      <c r="K23" s="70"/>
      <c r="L23" s="70"/>
      <c r="M23" s="70"/>
      <c r="N23" s="70"/>
      <c r="O23" s="70"/>
      <c r="P23" s="13"/>
      <c r="Q23" s="60"/>
      <c r="R23" s="61"/>
      <c r="S23" s="61"/>
      <c r="T23" s="70"/>
      <c r="U23" s="70"/>
      <c r="V23" s="70"/>
      <c r="W23" s="70"/>
      <c r="X23" s="70"/>
      <c r="Y23" s="70"/>
      <c r="Z23" s="70"/>
      <c r="AD23" s="86"/>
      <c r="AE23" s="86"/>
      <c r="AF23" s="86"/>
      <c r="AG23" s="94"/>
      <c r="AH23" s="94"/>
      <c r="AI23" s="94"/>
      <c r="AJ23" s="94"/>
      <c r="AK23" s="94"/>
    </row>
    <row r="24">
      <c r="A24" s="12"/>
      <c r="B24" s="87"/>
      <c r="C24" s="33" t="s">
        <v>39</v>
      </c>
      <c r="D24" s="1" t="s">
        <v>53</v>
      </c>
      <c r="F24" s="34"/>
      <c r="H24" s="19"/>
      <c r="I24" s="13"/>
      <c r="J24" s="60"/>
      <c r="K24" s="61"/>
      <c r="L24" s="61"/>
      <c r="M24" s="61"/>
      <c r="N24" s="61"/>
      <c r="O24" s="61"/>
      <c r="P24" s="13"/>
      <c r="Q24" s="70"/>
      <c r="R24" s="70"/>
      <c r="S24" s="70"/>
      <c r="T24" s="60"/>
      <c r="U24" s="60"/>
      <c r="V24" s="60"/>
      <c r="W24" s="60"/>
      <c r="X24" s="60"/>
      <c r="Y24" s="61"/>
      <c r="Z24" s="61"/>
      <c r="AD24" s="87"/>
      <c r="AE24" s="87"/>
      <c r="AF24" s="87"/>
      <c r="AG24" s="87"/>
      <c r="AH24" s="87"/>
      <c r="AI24" s="87"/>
      <c r="AJ24" s="87"/>
      <c r="AK24" s="87"/>
    </row>
    <row r="25">
      <c r="B25" s="71"/>
      <c r="C25" s="33" t="s">
        <v>41</v>
      </c>
      <c r="D25" s="1" t="s">
        <v>54</v>
      </c>
      <c r="F25" s="34"/>
      <c r="H25" s="13"/>
      <c r="I25" s="70"/>
      <c r="J25" s="70"/>
      <c r="K25" s="70"/>
      <c r="L25" s="70"/>
      <c r="M25" s="70"/>
      <c r="N25" s="70"/>
      <c r="O25" s="70"/>
      <c r="P25" s="13"/>
      <c r="Q25" s="69"/>
      <c r="R25" s="69"/>
      <c r="S25" s="69"/>
      <c r="T25" s="70"/>
      <c r="U25" s="70"/>
      <c r="V25" s="88"/>
      <c r="W25" s="88"/>
      <c r="X25" s="70"/>
      <c r="Y25" s="70"/>
      <c r="Z25" s="70"/>
      <c r="AD25" s="71"/>
      <c r="AE25" s="71"/>
      <c r="AF25" s="71"/>
      <c r="AG25" s="95"/>
      <c r="AH25" s="95"/>
      <c r="AI25" s="95"/>
      <c r="AJ25" s="95"/>
      <c r="AK25" s="96"/>
    </row>
    <row r="26">
      <c r="A26" s="97"/>
      <c r="B26" s="69"/>
      <c r="C26" s="33" t="s">
        <v>55</v>
      </c>
      <c r="D26" s="1" t="s">
        <v>56</v>
      </c>
      <c r="F26" s="34"/>
      <c r="G26" s="72"/>
      <c r="H26" s="13"/>
      <c r="I26" s="70"/>
      <c r="J26" s="70"/>
      <c r="K26" s="70"/>
      <c r="L26" s="70"/>
      <c r="M26" s="70"/>
      <c r="N26" s="70"/>
      <c r="O26" s="70"/>
      <c r="P26" s="13"/>
      <c r="R26" s="20"/>
      <c r="S26" s="20"/>
      <c r="T26" s="20"/>
      <c r="U26" s="20"/>
      <c r="V26" s="13"/>
      <c r="AD26" s="71"/>
      <c r="AE26" s="71"/>
      <c r="AF26" s="71"/>
      <c r="AG26" s="98"/>
      <c r="AH26" s="98"/>
      <c r="AI26" s="98"/>
      <c r="AJ26" s="98"/>
      <c r="AK26" s="99"/>
    </row>
    <row r="27">
      <c r="A27" s="97"/>
      <c r="B27" s="69"/>
      <c r="C27" s="33" t="s">
        <v>40</v>
      </c>
      <c r="D27" s="1" t="s">
        <v>57</v>
      </c>
      <c r="F27" s="34"/>
      <c r="G27" s="20"/>
      <c r="H27" s="13"/>
      <c r="I27" s="25"/>
      <c r="J27" s="25"/>
      <c r="K27" s="25"/>
      <c r="L27" s="25"/>
      <c r="M27" s="25"/>
      <c r="N27" s="25"/>
      <c r="O27" s="25"/>
      <c r="R27" s="20"/>
      <c r="S27" s="20"/>
      <c r="T27" s="20"/>
      <c r="U27" s="20"/>
      <c r="V27" s="89"/>
      <c r="AD27" s="70"/>
      <c r="AE27" s="70"/>
      <c r="AF27" s="70"/>
      <c r="AG27" s="98"/>
      <c r="AH27" s="98"/>
      <c r="AI27" s="98"/>
      <c r="AJ27" s="98"/>
      <c r="AK27" s="99"/>
    </row>
    <row r="28">
      <c r="A28" s="87"/>
      <c r="B28" s="60"/>
      <c r="C28" s="33" t="s">
        <v>58</v>
      </c>
      <c r="D28" s="1" t="s">
        <v>59</v>
      </c>
      <c r="F28" s="34"/>
      <c r="G28" s="20"/>
      <c r="H28" s="55"/>
      <c r="I28" s="25"/>
      <c r="J28" s="25"/>
      <c r="K28" s="25"/>
      <c r="L28" s="25"/>
      <c r="M28" s="25"/>
      <c r="N28" s="25"/>
      <c r="O28" s="25"/>
      <c r="R28" s="20"/>
      <c r="S28" s="20"/>
      <c r="T28" s="20"/>
      <c r="U28" s="20"/>
      <c r="AD28" s="61"/>
      <c r="AE28" s="61"/>
      <c r="AF28" s="61"/>
      <c r="AG28" s="98"/>
      <c r="AH28" s="98"/>
      <c r="AI28" s="98"/>
      <c r="AJ28" s="98"/>
      <c r="AK28" s="99"/>
    </row>
    <row r="29">
      <c r="A29" s="87"/>
      <c r="B29" s="69"/>
      <c r="C29" s="33" t="s">
        <v>60</v>
      </c>
      <c r="D29" s="1" t="s">
        <v>61</v>
      </c>
      <c r="F29" s="34"/>
      <c r="I29" s="25"/>
      <c r="J29" s="25"/>
      <c r="K29" s="25"/>
      <c r="L29" s="25"/>
      <c r="M29" s="20"/>
      <c r="N29" s="20"/>
      <c r="O29" s="20"/>
      <c r="AD29" s="70"/>
      <c r="AE29" s="70"/>
      <c r="AF29" s="70"/>
      <c r="AG29" s="98"/>
      <c r="AH29" s="98"/>
      <c r="AI29" s="98"/>
      <c r="AJ29" s="98"/>
      <c r="AK29" s="99"/>
    </row>
    <row r="30">
      <c r="A30" s="71"/>
      <c r="B30" s="25"/>
      <c r="C30" s="33" t="s">
        <v>44</v>
      </c>
      <c r="D30" s="1" t="s">
        <v>62</v>
      </c>
      <c r="F30" s="34"/>
      <c r="AD30" s="25"/>
      <c r="AE30" s="25"/>
      <c r="AF30" s="25"/>
      <c r="AG30" s="68"/>
      <c r="AH30" s="68"/>
      <c r="AI30" s="68"/>
      <c r="AJ30" s="98"/>
      <c r="AK30" s="68"/>
    </row>
    <row r="31">
      <c r="A31" s="71"/>
      <c r="B31" s="25"/>
      <c r="C31" s="33" t="s">
        <v>63</v>
      </c>
      <c r="D31" s="1" t="s">
        <v>64</v>
      </c>
      <c r="F31" s="34"/>
      <c r="AD31" s="25"/>
      <c r="AE31" s="25"/>
      <c r="AF31" s="25"/>
      <c r="AG31" s="68"/>
      <c r="AH31" s="68"/>
      <c r="AI31" s="68"/>
      <c r="AJ31" s="68"/>
      <c r="AK31" s="68"/>
    </row>
    <row r="32">
      <c r="C32" s="33" t="s">
        <v>65</v>
      </c>
      <c r="D32" s="1" t="s">
        <v>66</v>
      </c>
      <c r="F32" s="34"/>
    </row>
    <row r="33">
      <c r="C33" s="33" t="s">
        <v>46</v>
      </c>
      <c r="D33" s="1" t="s">
        <v>67</v>
      </c>
      <c r="F33" s="34"/>
    </row>
    <row r="34">
      <c r="C34" s="35" t="s">
        <v>68</v>
      </c>
      <c r="D34" s="36" t="s">
        <v>69</v>
      </c>
      <c r="E34" s="8"/>
      <c r="F34" s="37"/>
      <c r="AG34" s="22"/>
      <c r="AH34" s="22"/>
      <c r="AI34" s="22"/>
      <c r="AJ34" s="22"/>
      <c r="AK34" s="22"/>
    </row>
    <row r="35">
      <c r="AG35" s="22"/>
      <c r="AH35" s="22"/>
      <c r="AI35" s="22"/>
      <c r="AJ35" s="22"/>
      <c r="AK35" s="22"/>
    </row>
    <row r="49">
      <c r="E49" s="1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E52" s="69"/>
      <c r="F52" s="69"/>
      <c r="G52" s="69"/>
      <c r="H52" s="69"/>
      <c r="I52" s="69"/>
      <c r="J52" s="69"/>
      <c r="K52" s="69"/>
      <c r="L52" s="60"/>
      <c r="M52" s="60"/>
      <c r="N52" s="60"/>
      <c r="O52" s="60"/>
      <c r="P52" s="61"/>
      <c r="Q52" s="61"/>
      <c r="R52" s="61"/>
      <c r="S52" s="70"/>
      <c r="T52" s="70"/>
      <c r="U52" s="70"/>
    </row>
    <row r="53"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0"/>
      <c r="T53" s="60"/>
      <c r="U53" s="60"/>
    </row>
    <row r="54">
      <c r="E54" s="60"/>
      <c r="F54" s="60"/>
      <c r="G54" s="60"/>
      <c r="H54" s="60"/>
      <c r="I54" s="60"/>
      <c r="J54" s="61"/>
      <c r="K54" s="61"/>
      <c r="L54" s="70"/>
      <c r="M54" s="70"/>
      <c r="N54" s="70"/>
      <c r="O54" s="70"/>
      <c r="P54" s="70"/>
      <c r="Q54" s="70"/>
      <c r="R54" s="70"/>
      <c r="S54" s="70"/>
      <c r="T54" s="70"/>
      <c r="U54" s="70"/>
    </row>
    <row r="5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</sheetData>
  <mergeCells count="16">
    <mergeCell ref="B1:AC3"/>
    <mergeCell ref="B14:AF14"/>
    <mergeCell ref="C22:F22"/>
    <mergeCell ref="D23:F23"/>
    <mergeCell ref="D24:F24"/>
    <mergeCell ref="D25:F25"/>
    <mergeCell ref="D26:F26"/>
    <mergeCell ref="D33:F33"/>
    <mergeCell ref="D34:F34"/>
    <mergeCell ref="D27:F27"/>
    <mergeCell ref="V27:AC29"/>
    <mergeCell ref="D28:F28"/>
    <mergeCell ref="D29:F29"/>
    <mergeCell ref="D30:F30"/>
    <mergeCell ref="D31:F31"/>
    <mergeCell ref="D32:F32"/>
  </mergeCells>
  <conditionalFormatting sqref="B9:H9 R26:U26 B28 E54:K54">
    <cfRule type="cellIs" dxfId="0" priority="1" operator="equal">
      <formula>"X"</formula>
    </cfRule>
  </conditionalFormatting>
  <conditionalFormatting sqref="B9:H9 R26:U26 B28 E54:K54">
    <cfRule type="cellIs" dxfId="1" priority="2" operator="equal">
      <formula>"D"</formula>
    </cfRule>
  </conditionalFormatting>
  <conditionalFormatting sqref="B9:H9 R26:U26 B28 E54:K54">
    <cfRule type="cellIs" dxfId="2" priority="3" operator="equal">
      <formula>"N"</formula>
    </cfRule>
  </conditionalFormatting>
  <conditionalFormatting sqref="B9:H9 R26:U26 B28 E54:K54">
    <cfRule type="cellIs" dxfId="3" priority="4" operator="equal">
      <formula>"OB"</formula>
    </cfRule>
  </conditionalFormatting>
  <conditionalFormatting sqref="B9:H9 R26:U26 B28 E54:K54">
    <cfRule type="cellIs" dxfId="0" priority="5" operator="equal">
      <formula>"C"</formula>
    </cfRule>
  </conditionalFormatting>
  <conditionalFormatting sqref="B9:H9 R26:U26 B28 E54:K54">
    <cfRule type="cellIs" dxfId="0" priority="6" operator="equal">
      <formula>"AL"</formula>
    </cfRule>
  </conditionalFormatting>
  <conditionalFormatting sqref="B9:H9 R26:U26 B28 E54:K54">
    <cfRule type="cellIs" dxfId="4" priority="7" operator="equal">
      <formula>"UP"</formula>
    </cfRule>
  </conditionalFormatting>
  <conditionalFormatting sqref="B9:H9 R26:U26 B28 E54:K54">
    <cfRule type="cellIs" dxfId="0" priority="8" operator="equal">
      <formula>"S"</formula>
    </cfRule>
  </conditionalFormatting>
  <conditionalFormatting sqref="B9:H9 R26:U26 B28 E54:K54">
    <cfRule type="cellIs" dxfId="5" priority="9" operator="equal">
      <formula>"OC"</formula>
    </cfRule>
  </conditionalFormatting>
  <conditionalFormatting sqref="B9:H9 R26:U26 B28 E54:K54">
    <cfRule type="cellIs" dxfId="6" priority="10" operator="equal">
      <formula>"SPV"</formula>
    </cfRule>
  </conditionalFormatting>
  <conditionalFormatting sqref="B9:H9 R26:U26 B28 E54:K54">
    <cfRule type="cellIs" dxfId="7" priority="11" operator="equal">
      <formula>"INT"</formula>
    </cfRule>
  </conditionalFormatting>
  <conditionalFormatting sqref="B9:H9 R26:U26 B28 E54:K54">
    <cfRule type="cellIs" dxfId="8" priority="12" operator="equal">
      <formula>"T"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3" operator="equal">
      <formula>"X"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1" priority="14" operator="equal">
      <formula>"D"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2" priority="15" operator="equal">
      <formula>"N"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3" priority="16" operator="equal">
      <formula>"OB"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7" operator="equal">
      <formula>"C"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8" operator="equal">
      <formula>"AL"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4" priority="19" operator="equal">
      <formula>"UP"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20" operator="equal">
      <formula>"S"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5" priority="21" operator="equal">
      <formula>"OC"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6" priority="22" operator="equal">
      <formula>"SPV"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7" priority="23" operator="equal">
      <formula>"INT"</formula>
    </cfRule>
  </conditionalFormatting>
  <conditionalFormatting sqref="B6:AF11 A10 B15:AF17 I22:I23 J22:O29 Q22:Z29 B23:G29 H23:H26 P23:P29 AA23:AF29 I25:I29 H28:H29 K34:P40 Q34:Q38 S34:AB37 T39:W40 J40 E51:U55">
    <cfRule type="cellIs" dxfId="8" priority="24" operator="equal">
      <formula>"T"</formula>
    </cfRule>
  </conditionalFormatting>
  <conditionalFormatting sqref="C33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91" t="s">
        <v>142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92"/>
      <c r="AG3" s="4"/>
      <c r="AH3" s="4"/>
      <c r="AI3" s="4"/>
      <c r="AJ3" s="4"/>
      <c r="AK3" s="4"/>
    </row>
    <row r="4">
      <c r="A4" s="6"/>
      <c r="B4" s="10" t="s">
        <v>5</v>
      </c>
      <c r="C4" s="10" t="s">
        <v>6</v>
      </c>
      <c r="D4" s="10" t="s">
        <v>7</v>
      </c>
      <c r="E4" s="10" t="s">
        <v>8</v>
      </c>
      <c r="F4" s="10" t="s">
        <v>2</v>
      </c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  <c r="M4" s="10" t="s">
        <v>2</v>
      </c>
      <c r="N4" s="10" t="s">
        <v>3</v>
      </c>
      <c r="O4" s="10" t="s">
        <v>4</v>
      </c>
      <c r="P4" s="10" t="s">
        <v>5</v>
      </c>
      <c r="Q4" s="10" t="s">
        <v>6</v>
      </c>
      <c r="R4" s="10" t="s">
        <v>7</v>
      </c>
      <c r="S4" s="10" t="s">
        <v>8</v>
      </c>
      <c r="T4" s="10" t="s">
        <v>2</v>
      </c>
      <c r="U4" s="10" t="s">
        <v>3</v>
      </c>
      <c r="V4" s="10" t="s">
        <v>4</v>
      </c>
      <c r="W4" s="10" t="s">
        <v>5</v>
      </c>
      <c r="X4" s="10" t="s">
        <v>6</v>
      </c>
      <c r="Y4" s="10" t="s">
        <v>7</v>
      </c>
      <c r="Z4" s="10" t="s">
        <v>8</v>
      </c>
      <c r="AA4" s="10" t="s">
        <v>2</v>
      </c>
      <c r="AB4" s="13" t="s">
        <v>3</v>
      </c>
      <c r="AC4" s="10" t="s">
        <v>4</v>
      </c>
      <c r="AD4" s="10" t="s">
        <v>5</v>
      </c>
      <c r="AE4" s="10" t="s">
        <v>6</v>
      </c>
      <c r="AF4" s="10" t="s">
        <v>7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44" t="s">
        <v>38</v>
      </c>
      <c r="AH5" s="45" t="s">
        <v>39</v>
      </c>
      <c r="AI5" s="46" t="s">
        <v>40</v>
      </c>
      <c r="AJ5" s="48" t="s">
        <v>42</v>
      </c>
      <c r="AK5" s="54" t="s">
        <v>76</v>
      </c>
    </row>
    <row r="6">
      <c r="A6" s="19" t="s">
        <v>137</v>
      </c>
      <c r="B6" s="71" t="s">
        <v>38</v>
      </c>
      <c r="C6" s="71" t="s">
        <v>38</v>
      </c>
      <c r="D6" s="71" t="s">
        <v>38</v>
      </c>
      <c r="E6" s="71" t="s">
        <v>40</v>
      </c>
      <c r="F6" s="71" t="s">
        <v>38</v>
      </c>
      <c r="G6" s="71" t="s">
        <v>38</v>
      </c>
      <c r="H6" s="71" t="s">
        <v>40</v>
      </c>
      <c r="I6" s="71" t="s">
        <v>40</v>
      </c>
      <c r="J6" s="71" t="s">
        <v>38</v>
      </c>
      <c r="K6" s="71" t="s">
        <v>38</v>
      </c>
      <c r="L6" s="71" t="s">
        <v>40</v>
      </c>
      <c r="M6" s="71" t="s">
        <v>40</v>
      </c>
      <c r="N6" s="71" t="s">
        <v>38</v>
      </c>
      <c r="O6" s="71" t="s">
        <v>38</v>
      </c>
      <c r="P6" s="71" t="s">
        <v>40</v>
      </c>
      <c r="Q6" s="71" t="s">
        <v>40</v>
      </c>
      <c r="R6" s="71" t="s">
        <v>39</v>
      </c>
      <c r="S6" s="71" t="s">
        <v>39</v>
      </c>
      <c r="T6" s="71" t="s">
        <v>39</v>
      </c>
      <c r="U6" s="71" t="s">
        <v>40</v>
      </c>
      <c r="V6" s="71" t="s">
        <v>39</v>
      </c>
      <c r="W6" s="71" t="s">
        <v>39</v>
      </c>
      <c r="X6" s="71" t="s">
        <v>39</v>
      </c>
      <c r="Y6" s="71" t="s">
        <v>40</v>
      </c>
      <c r="Z6" s="71" t="s">
        <v>39</v>
      </c>
      <c r="AA6" s="71" t="s">
        <v>39</v>
      </c>
      <c r="AB6" s="71" t="s">
        <v>40</v>
      </c>
      <c r="AC6" s="71" t="s">
        <v>40</v>
      </c>
      <c r="AD6" s="71" t="s">
        <v>39</v>
      </c>
      <c r="AE6" s="71" t="s">
        <v>39</v>
      </c>
      <c r="AF6" s="71" t="s">
        <v>40</v>
      </c>
      <c r="AG6" s="49">
        <f t="shared" ref="AG6:AG11" si="1">COUNTIF(B6:AF6,"D")</f>
        <v>9</v>
      </c>
      <c r="AH6" s="49">
        <f t="shared" ref="AH6:AH11" si="2">COUNTIF(B6:AF6,"N")</f>
        <v>10</v>
      </c>
      <c r="AI6" s="49">
        <f t="shared" ref="AI6:AI11" si="3">COUNTIF(B6:AF6,"X")</f>
        <v>12</v>
      </c>
      <c r="AJ6" s="49">
        <f t="shared" ref="AJ6:AJ11" si="4">AG6+AH6</f>
        <v>19</v>
      </c>
      <c r="AK6" s="84">
        <f t="shared" ref="AK6:AK11" si="5">(AJ6*12)/4.2</f>
        <v>54.28571429</v>
      </c>
    </row>
    <row r="7">
      <c r="A7" s="19" t="s">
        <v>43</v>
      </c>
      <c r="B7" s="69" t="s">
        <v>39</v>
      </c>
      <c r="C7" s="69" t="s">
        <v>39</v>
      </c>
      <c r="D7" s="69" t="s">
        <v>40</v>
      </c>
      <c r="E7" s="69" t="s">
        <v>40</v>
      </c>
      <c r="F7" s="69" t="s">
        <v>39</v>
      </c>
      <c r="G7" s="69" t="s">
        <v>39</v>
      </c>
      <c r="H7" s="69" t="s">
        <v>40</v>
      </c>
      <c r="I7" s="60" t="s">
        <v>40</v>
      </c>
      <c r="J7" s="60" t="s">
        <v>60</v>
      </c>
      <c r="K7" s="60" t="s">
        <v>39</v>
      </c>
      <c r="L7" s="60" t="s">
        <v>40</v>
      </c>
      <c r="M7" s="61" t="s">
        <v>40</v>
      </c>
      <c r="N7" s="61" t="s">
        <v>39</v>
      </c>
      <c r="O7" s="61" t="s">
        <v>39</v>
      </c>
      <c r="P7" s="70" t="s">
        <v>40</v>
      </c>
      <c r="Q7" s="70" t="s">
        <v>40</v>
      </c>
      <c r="R7" s="70" t="s">
        <v>60</v>
      </c>
      <c r="S7" s="70" t="s">
        <v>38</v>
      </c>
      <c r="T7" s="70" t="s">
        <v>40</v>
      </c>
      <c r="U7" s="70" t="s">
        <v>38</v>
      </c>
      <c r="V7" s="70" t="s">
        <v>38</v>
      </c>
      <c r="W7" s="71" t="s">
        <v>38</v>
      </c>
      <c r="X7" s="70" t="s">
        <v>40</v>
      </c>
      <c r="Y7" s="71" t="s">
        <v>40</v>
      </c>
      <c r="Z7" s="71" t="s">
        <v>38</v>
      </c>
      <c r="AA7" s="71" t="s">
        <v>38</v>
      </c>
      <c r="AB7" s="71" t="s">
        <v>40</v>
      </c>
      <c r="AC7" s="71" t="s">
        <v>40</v>
      </c>
      <c r="AD7" s="71" t="s">
        <v>38</v>
      </c>
      <c r="AE7" s="71" t="s">
        <v>38</v>
      </c>
      <c r="AF7" s="71" t="s">
        <v>40</v>
      </c>
      <c r="AG7" s="49">
        <f t="shared" si="1"/>
        <v>8</v>
      </c>
      <c r="AH7" s="49">
        <f t="shared" si="2"/>
        <v>7</v>
      </c>
      <c r="AI7" s="49">
        <f t="shared" si="3"/>
        <v>14</v>
      </c>
      <c r="AJ7" s="49">
        <f t="shared" si="4"/>
        <v>15</v>
      </c>
      <c r="AK7" s="84">
        <f t="shared" si="5"/>
        <v>42.85714286</v>
      </c>
    </row>
    <row r="8">
      <c r="A8" s="13" t="s">
        <v>138</v>
      </c>
      <c r="B8" s="69" t="s">
        <v>40</v>
      </c>
      <c r="C8" s="69" t="s">
        <v>40</v>
      </c>
      <c r="D8" s="69" t="s">
        <v>39</v>
      </c>
      <c r="E8" s="69" t="s">
        <v>39</v>
      </c>
      <c r="F8" s="69" t="s">
        <v>40</v>
      </c>
      <c r="G8" s="69" t="s">
        <v>40</v>
      </c>
      <c r="H8" s="69" t="s">
        <v>39</v>
      </c>
      <c r="I8" s="69" t="s">
        <v>39</v>
      </c>
      <c r="J8" s="69" t="s">
        <v>40</v>
      </c>
      <c r="K8" s="69" t="s">
        <v>40</v>
      </c>
      <c r="L8" s="69" t="s">
        <v>39</v>
      </c>
      <c r="M8" s="69" t="s">
        <v>39</v>
      </c>
      <c r="N8" s="69" t="s">
        <v>40</v>
      </c>
      <c r="O8" s="69" t="s">
        <v>40</v>
      </c>
      <c r="P8" s="60" t="s">
        <v>39</v>
      </c>
      <c r="Q8" s="60" t="s">
        <v>39</v>
      </c>
      <c r="R8" s="60" t="s">
        <v>40</v>
      </c>
      <c r="S8" s="60" t="s">
        <v>40</v>
      </c>
      <c r="T8" s="60" t="s">
        <v>60</v>
      </c>
      <c r="U8" s="61" t="s">
        <v>39</v>
      </c>
      <c r="V8" s="61" t="s">
        <v>40</v>
      </c>
      <c r="W8" s="70" t="s">
        <v>40</v>
      </c>
      <c r="X8" s="1" t="s">
        <v>38</v>
      </c>
      <c r="Y8" s="70" t="s">
        <v>38</v>
      </c>
      <c r="Z8" s="70" t="s">
        <v>40</v>
      </c>
      <c r="AA8" s="70" t="s">
        <v>38</v>
      </c>
      <c r="AB8" s="70" t="s">
        <v>38</v>
      </c>
      <c r="AC8" s="70" t="s">
        <v>40</v>
      </c>
      <c r="AD8" s="70" t="s">
        <v>40</v>
      </c>
      <c r="AE8" s="70" t="s">
        <v>38</v>
      </c>
      <c r="AF8" s="70" t="s">
        <v>38</v>
      </c>
      <c r="AG8" s="49">
        <f t="shared" si="1"/>
        <v>6</v>
      </c>
      <c r="AH8" s="49">
        <f t="shared" si="2"/>
        <v>9</v>
      </c>
      <c r="AI8" s="49">
        <f t="shared" si="3"/>
        <v>15</v>
      </c>
      <c r="AJ8" s="49">
        <f t="shared" si="4"/>
        <v>15</v>
      </c>
      <c r="AK8" s="84">
        <f t="shared" si="5"/>
        <v>42.85714286</v>
      </c>
    </row>
    <row r="9">
      <c r="A9" s="13" t="s">
        <v>48</v>
      </c>
      <c r="B9" s="60" t="s">
        <v>40</v>
      </c>
      <c r="C9" s="60" t="s">
        <v>40</v>
      </c>
      <c r="D9" s="60" t="s">
        <v>68</v>
      </c>
      <c r="E9" s="60" t="s">
        <v>38</v>
      </c>
      <c r="F9" s="60" t="s">
        <v>40</v>
      </c>
      <c r="G9" s="61" t="s">
        <v>40</v>
      </c>
      <c r="H9" s="61" t="s">
        <v>38</v>
      </c>
      <c r="I9" s="70" t="s">
        <v>38</v>
      </c>
      <c r="J9" s="70" t="s">
        <v>40</v>
      </c>
      <c r="K9" s="70" t="s">
        <v>40</v>
      </c>
      <c r="L9" s="70" t="s">
        <v>38</v>
      </c>
      <c r="M9" s="70" t="s">
        <v>60</v>
      </c>
      <c r="N9" s="70" t="s">
        <v>40</v>
      </c>
      <c r="O9" s="70" t="s">
        <v>40</v>
      </c>
      <c r="P9" s="70" t="s">
        <v>60</v>
      </c>
      <c r="Q9" s="70" t="s">
        <v>38</v>
      </c>
      <c r="R9" s="70" t="s">
        <v>38</v>
      </c>
      <c r="S9" s="70" t="s">
        <v>40</v>
      </c>
      <c r="T9" s="70" t="s">
        <v>44</v>
      </c>
      <c r="U9" s="70" t="s">
        <v>44</v>
      </c>
      <c r="V9" s="70" t="s">
        <v>44</v>
      </c>
      <c r="W9" s="60" t="s">
        <v>44</v>
      </c>
      <c r="X9" s="60" t="s">
        <v>44</v>
      </c>
      <c r="Y9" s="60" t="s">
        <v>40</v>
      </c>
      <c r="Z9" s="60" t="s">
        <v>40</v>
      </c>
      <c r="AA9" s="60"/>
      <c r="AB9" s="61"/>
      <c r="AC9" s="61"/>
      <c r="AD9" s="61"/>
      <c r="AE9" s="61"/>
      <c r="AF9" s="61"/>
      <c r="AG9" s="49">
        <f t="shared" si="1"/>
        <v>6</v>
      </c>
      <c r="AH9" s="49">
        <f t="shared" si="2"/>
        <v>0</v>
      </c>
      <c r="AI9" s="49">
        <f t="shared" si="3"/>
        <v>11</v>
      </c>
      <c r="AJ9" s="49">
        <f t="shared" si="4"/>
        <v>6</v>
      </c>
      <c r="AK9" s="84">
        <f t="shared" si="5"/>
        <v>17.14285714</v>
      </c>
    </row>
    <row r="10">
      <c r="A10" s="88" t="s">
        <v>47</v>
      </c>
      <c r="B10" s="69"/>
      <c r="C10" s="69"/>
      <c r="D10" s="69"/>
      <c r="E10" s="69"/>
      <c r="F10" s="69"/>
      <c r="G10" s="69"/>
      <c r="H10" s="69"/>
      <c r="I10" s="69"/>
      <c r="J10" s="69" t="s">
        <v>39</v>
      </c>
      <c r="K10" s="69"/>
      <c r="L10" s="69"/>
      <c r="M10" s="69" t="s">
        <v>38</v>
      </c>
      <c r="N10" s="69"/>
      <c r="O10" s="69"/>
      <c r="P10" s="69" t="s">
        <v>38</v>
      </c>
      <c r="Q10" s="69"/>
      <c r="R10" s="69"/>
      <c r="S10" s="69"/>
      <c r="T10" s="69" t="s">
        <v>38</v>
      </c>
      <c r="U10" s="69"/>
      <c r="V10" s="69"/>
      <c r="W10" s="70"/>
      <c r="X10" s="70"/>
      <c r="Y10" s="70"/>
      <c r="Z10" s="70"/>
      <c r="AA10" s="70"/>
      <c r="AB10" s="70"/>
      <c r="AC10" s="70" t="s">
        <v>38</v>
      </c>
      <c r="AD10" s="70" t="s">
        <v>38</v>
      </c>
      <c r="AE10" s="70"/>
      <c r="AF10" s="70"/>
      <c r="AG10" s="49">
        <f t="shared" si="1"/>
        <v>5</v>
      </c>
      <c r="AH10" s="49">
        <f t="shared" si="2"/>
        <v>1</v>
      </c>
      <c r="AI10" s="49">
        <f t="shared" si="3"/>
        <v>0</v>
      </c>
      <c r="AJ10" s="49">
        <f t="shared" si="4"/>
        <v>6</v>
      </c>
      <c r="AK10" s="84">
        <f t="shared" si="5"/>
        <v>17.14285714</v>
      </c>
    </row>
    <row r="11">
      <c r="A11" s="13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49">
        <f t="shared" si="1"/>
        <v>0</v>
      </c>
      <c r="AH11" s="49">
        <f t="shared" si="2"/>
        <v>0</v>
      </c>
      <c r="AI11" s="49">
        <f t="shared" si="3"/>
        <v>0</v>
      </c>
      <c r="AJ11" s="49">
        <f t="shared" si="4"/>
        <v>0</v>
      </c>
      <c r="AK11" s="84">
        <f t="shared" si="5"/>
        <v>0</v>
      </c>
    </row>
    <row r="12">
      <c r="A12" s="23" t="s">
        <v>49</v>
      </c>
      <c r="B12" s="24">
        <f t="shared" ref="B12:AF12" si="6">COUNTIF(B6:B11,"D")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1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2</v>
      </c>
      <c r="AB12" s="24">
        <f t="shared" si="6"/>
        <v>1</v>
      </c>
      <c r="AC12" s="24">
        <f t="shared" si="6"/>
        <v>1</v>
      </c>
      <c r="AD12" s="24">
        <f t="shared" si="6"/>
        <v>2</v>
      </c>
      <c r="AE12" s="24">
        <f t="shared" si="6"/>
        <v>2</v>
      </c>
      <c r="AF12" s="24">
        <f t="shared" si="6"/>
        <v>1</v>
      </c>
      <c r="AJ12" s="49"/>
    </row>
    <row r="13">
      <c r="A13" s="26" t="s">
        <v>50</v>
      </c>
      <c r="B13" s="27">
        <f t="shared" ref="B13:AF13" si="7">COUNTIF(B6:B11,"N")</f>
        <v>1</v>
      </c>
      <c r="C13" s="27">
        <f t="shared" si="7"/>
        <v>1</v>
      </c>
      <c r="D13" s="27">
        <f t="shared" si="7"/>
        <v>1</v>
      </c>
      <c r="E13" s="27">
        <f t="shared" si="7"/>
        <v>1</v>
      </c>
      <c r="F13" s="27">
        <f t="shared" si="7"/>
        <v>1</v>
      </c>
      <c r="G13" s="27">
        <f t="shared" si="7"/>
        <v>1</v>
      </c>
      <c r="H13" s="27">
        <f t="shared" si="7"/>
        <v>1</v>
      </c>
      <c r="I13" s="27">
        <f t="shared" si="7"/>
        <v>1</v>
      </c>
      <c r="J13" s="27">
        <f t="shared" si="7"/>
        <v>1</v>
      </c>
      <c r="K13" s="27">
        <f t="shared" si="7"/>
        <v>1</v>
      </c>
      <c r="L13" s="27">
        <f t="shared" si="7"/>
        <v>1</v>
      </c>
      <c r="M13" s="27">
        <f t="shared" si="7"/>
        <v>1</v>
      </c>
      <c r="N13" s="27">
        <f t="shared" si="7"/>
        <v>1</v>
      </c>
      <c r="O13" s="27">
        <f t="shared" si="7"/>
        <v>1</v>
      </c>
      <c r="P13" s="27">
        <f t="shared" si="7"/>
        <v>1</v>
      </c>
      <c r="Q13" s="27">
        <f t="shared" si="7"/>
        <v>1</v>
      </c>
      <c r="R13" s="27">
        <f t="shared" si="7"/>
        <v>1</v>
      </c>
      <c r="S13" s="27">
        <f t="shared" si="7"/>
        <v>1</v>
      </c>
      <c r="T13" s="27">
        <f t="shared" si="7"/>
        <v>1</v>
      </c>
      <c r="U13" s="27">
        <f t="shared" si="7"/>
        <v>1</v>
      </c>
      <c r="V13" s="27">
        <f t="shared" si="7"/>
        <v>1</v>
      </c>
      <c r="W13" s="27">
        <f t="shared" si="7"/>
        <v>1</v>
      </c>
      <c r="X13" s="27">
        <f t="shared" si="7"/>
        <v>1</v>
      </c>
      <c r="Y13" s="27">
        <f t="shared" si="7"/>
        <v>0</v>
      </c>
      <c r="Z13" s="27">
        <f t="shared" si="7"/>
        <v>1</v>
      </c>
      <c r="AA13" s="27">
        <f t="shared" si="7"/>
        <v>1</v>
      </c>
      <c r="AB13" s="27">
        <f t="shared" si="7"/>
        <v>0</v>
      </c>
      <c r="AC13" s="27">
        <f t="shared" si="7"/>
        <v>0</v>
      </c>
      <c r="AD13" s="27">
        <f t="shared" si="7"/>
        <v>1</v>
      </c>
      <c r="AE13" s="27">
        <f t="shared" si="7"/>
        <v>1</v>
      </c>
      <c r="AF13" s="27">
        <f t="shared" si="7"/>
        <v>0</v>
      </c>
    </row>
    <row r="14">
      <c r="B14" s="85" t="s">
        <v>120</v>
      </c>
      <c r="AG14" s="44" t="s">
        <v>38</v>
      </c>
      <c r="AH14" s="45" t="s">
        <v>39</v>
      </c>
      <c r="AI14" s="46" t="s">
        <v>40</v>
      </c>
      <c r="AJ14" s="48" t="s">
        <v>42</v>
      </c>
      <c r="AK14" s="54" t="s">
        <v>76</v>
      </c>
    </row>
    <row r="15">
      <c r="A15" s="13" t="s">
        <v>104</v>
      </c>
      <c r="B15" s="69" t="s">
        <v>44</v>
      </c>
      <c r="C15" s="69" t="s">
        <v>44</v>
      </c>
      <c r="D15" s="69" t="s">
        <v>40</v>
      </c>
      <c r="E15" s="69" t="s">
        <v>40</v>
      </c>
      <c r="F15" s="69" t="s">
        <v>38</v>
      </c>
      <c r="G15" s="69" t="s">
        <v>38</v>
      </c>
      <c r="H15" s="69" t="s">
        <v>38</v>
      </c>
      <c r="I15" s="69" t="s">
        <v>38</v>
      </c>
      <c r="J15" s="69" t="s">
        <v>38</v>
      </c>
      <c r="K15" s="69" t="s">
        <v>40</v>
      </c>
      <c r="L15" s="69" t="s">
        <v>40</v>
      </c>
      <c r="M15" s="69" t="s">
        <v>38</v>
      </c>
      <c r="N15" s="69" t="s">
        <v>38</v>
      </c>
      <c r="O15" s="69" t="s">
        <v>38</v>
      </c>
      <c r="P15" s="69" t="s">
        <v>38</v>
      </c>
      <c r="Q15" s="69" t="s">
        <v>38</v>
      </c>
      <c r="R15" s="69" t="s">
        <v>40</v>
      </c>
      <c r="S15" s="69" t="s">
        <v>40</v>
      </c>
      <c r="T15" s="69" t="s">
        <v>39</v>
      </c>
      <c r="U15" s="69" t="s">
        <v>39</v>
      </c>
      <c r="V15" s="69" t="s">
        <v>39</v>
      </c>
      <c r="W15" s="69" t="s">
        <v>39</v>
      </c>
      <c r="X15" s="69" t="s">
        <v>39</v>
      </c>
      <c r="Y15" s="69" t="s">
        <v>40</v>
      </c>
      <c r="Z15" s="69" t="s">
        <v>40</v>
      </c>
      <c r="AA15" s="69" t="s">
        <v>39</v>
      </c>
      <c r="AB15" s="69" t="s">
        <v>39</v>
      </c>
      <c r="AC15" s="69" t="s">
        <v>39</v>
      </c>
      <c r="AD15" s="69" t="s">
        <v>39</v>
      </c>
      <c r="AE15" s="69" t="s">
        <v>39</v>
      </c>
      <c r="AF15" s="69" t="s">
        <v>40</v>
      </c>
      <c r="AG15" s="49">
        <f t="shared" ref="AG15:AG17" si="8">COUNTIF(B15:AF15,"D")</f>
        <v>10</v>
      </c>
      <c r="AH15" s="49">
        <f t="shared" ref="AH15:AH17" si="9">COUNTIF(B15:AF15,"N")</f>
        <v>10</v>
      </c>
      <c r="AI15" s="49">
        <f t="shared" ref="AI15:AI17" si="10">COUNTIF(B15:AF15,"X")</f>
        <v>9</v>
      </c>
      <c r="AJ15" s="49">
        <f t="shared" ref="AJ15:AJ17" si="11">AG15+AH15</f>
        <v>20</v>
      </c>
      <c r="AK15" s="84">
        <f t="shared" ref="AK15:AK17" si="12">(AJ15*10)/4</f>
        <v>50</v>
      </c>
    </row>
    <row r="16">
      <c r="A16" s="13" t="s">
        <v>121</v>
      </c>
      <c r="B16" s="69" t="s">
        <v>38</v>
      </c>
      <c r="C16" s="69" t="s">
        <v>38</v>
      </c>
      <c r="D16" s="69" t="s">
        <v>40</v>
      </c>
      <c r="E16" s="69" t="s">
        <v>40</v>
      </c>
      <c r="F16" s="69" t="s">
        <v>39</v>
      </c>
      <c r="G16" s="69" t="s">
        <v>39</v>
      </c>
      <c r="H16" s="69" t="s">
        <v>39</v>
      </c>
      <c r="I16" s="69" t="s">
        <v>39</v>
      </c>
      <c r="J16" s="69" t="s">
        <v>39</v>
      </c>
      <c r="K16" s="69" t="s">
        <v>40</v>
      </c>
      <c r="L16" s="69" t="s">
        <v>40</v>
      </c>
      <c r="M16" s="69" t="s">
        <v>39</v>
      </c>
      <c r="N16" s="69" t="s">
        <v>39</v>
      </c>
      <c r="O16" s="69" t="s">
        <v>39</v>
      </c>
      <c r="P16" s="69" t="s">
        <v>39</v>
      </c>
      <c r="Q16" s="69" t="s">
        <v>39</v>
      </c>
      <c r="R16" s="69" t="s">
        <v>40</v>
      </c>
      <c r="S16" s="69" t="s">
        <v>40</v>
      </c>
      <c r="T16" s="69" t="s">
        <v>38</v>
      </c>
      <c r="U16" s="69" t="s">
        <v>38</v>
      </c>
      <c r="V16" s="69" t="s">
        <v>38</v>
      </c>
      <c r="W16" s="69" t="s">
        <v>38</v>
      </c>
      <c r="X16" s="69" t="s">
        <v>38</v>
      </c>
      <c r="Y16" s="69" t="s">
        <v>40</v>
      </c>
      <c r="Z16" s="69" t="s">
        <v>40</v>
      </c>
      <c r="AA16" s="69" t="s">
        <v>38</v>
      </c>
      <c r="AB16" s="69" t="s">
        <v>38</v>
      </c>
      <c r="AC16" s="69" t="s">
        <v>38</v>
      </c>
      <c r="AD16" s="69" t="s">
        <v>38</v>
      </c>
      <c r="AE16" s="69" t="s">
        <v>38</v>
      </c>
      <c r="AF16" s="69" t="s">
        <v>40</v>
      </c>
      <c r="AG16" s="49">
        <f t="shared" si="8"/>
        <v>12</v>
      </c>
      <c r="AH16" s="49">
        <f t="shared" si="9"/>
        <v>10</v>
      </c>
      <c r="AI16" s="49">
        <f t="shared" si="10"/>
        <v>9</v>
      </c>
      <c r="AJ16" s="49">
        <f t="shared" si="11"/>
        <v>22</v>
      </c>
      <c r="AK16" s="84">
        <f t="shared" si="12"/>
        <v>55</v>
      </c>
    </row>
    <row r="17">
      <c r="A17" s="13" t="s">
        <v>141</v>
      </c>
      <c r="B17" s="69" t="s">
        <v>39</v>
      </c>
      <c r="C17" s="69" t="s">
        <v>39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49">
        <f t="shared" si="8"/>
        <v>0</v>
      </c>
      <c r="AH17" s="49">
        <f t="shared" si="9"/>
        <v>2</v>
      </c>
      <c r="AI17" s="49">
        <f t="shared" si="10"/>
        <v>0</v>
      </c>
      <c r="AJ17" s="49">
        <f t="shared" si="11"/>
        <v>2</v>
      </c>
      <c r="AK17" s="84">
        <f t="shared" si="12"/>
        <v>5</v>
      </c>
    </row>
    <row r="18">
      <c r="A18" s="23" t="s">
        <v>49</v>
      </c>
      <c r="B18" s="24">
        <f t="shared" ref="B18:AF18" si="13">COUNTIF(B15:B17,"D")</f>
        <v>1</v>
      </c>
      <c r="C18" s="24">
        <f t="shared" si="13"/>
        <v>1</v>
      </c>
      <c r="D18" s="24">
        <f t="shared" si="13"/>
        <v>0</v>
      </c>
      <c r="E18" s="24">
        <f t="shared" si="13"/>
        <v>0</v>
      </c>
      <c r="F18" s="24">
        <f t="shared" si="13"/>
        <v>1</v>
      </c>
      <c r="G18" s="24">
        <f t="shared" si="13"/>
        <v>1</v>
      </c>
      <c r="H18" s="24">
        <f t="shared" si="13"/>
        <v>1</v>
      </c>
      <c r="I18" s="24">
        <f t="shared" si="13"/>
        <v>1</v>
      </c>
      <c r="J18" s="24">
        <f t="shared" si="13"/>
        <v>1</v>
      </c>
      <c r="K18" s="24">
        <f t="shared" si="13"/>
        <v>0</v>
      </c>
      <c r="L18" s="24">
        <f t="shared" si="13"/>
        <v>0</v>
      </c>
      <c r="M18" s="24">
        <f t="shared" si="13"/>
        <v>1</v>
      </c>
      <c r="N18" s="24">
        <f t="shared" si="13"/>
        <v>1</v>
      </c>
      <c r="O18" s="24">
        <f t="shared" si="13"/>
        <v>1</v>
      </c>
      <c r="P18" s="24">
        <f t="shared" si="13"/>
        <v>1</v>
      </c>
      <c r="Q18" s="24">
        <f t="shared" si="13"/>
        <v>1</v>
      </c>
      <c r="R18" s="24">
        <f t="shared" si="13"/>
        <v>0</v>
      </c>
      <c r="S18" s="24">
        <f t="shared" si="13"/>
        <v>0</v>
      </c>
      <c r="T18" s="24">
        <f t="shared" si="13"/>
        <v>1</v>
      </c>
      <c r="U18" s="24">
        <f t="shared" si="13"/>
        <v>1</v>
      </c>
      <c r="V18" s="24">
        <f t="shared" si="13"/>
        <v>1</v>
      </c>
      <c r="W18" s="24">
        <f t="shared" si="13"/>
        <v>1</v>
      </c>
      <c r="X18" s="24">
        <f t="shared" si="13"/>
        <v>1</v>
      </c>
      <c r="Y18" s="24">
        <f t="shared" si="13"/>
        <v>0</v>
      </c>
      <c r="Z18" s="24">
        <f t="shared" si="13"/>
        <v>0</v>
      </c>
      <c r="AA18" s="24">
        <f t="shared" si="13"/>
        <v>1</v>
      </c>
      <c r="AB18" s="24">
        <f t="shared" si="13"/>
        <v>1</v>
      </c>
      <c r="AC18" s="24">
        <f t="shared" si="13"/>
        <v>1</v>
      </c>
      <c r="AD18" s="24">
        <f t="shared" si="13"/>
        <v>1</v>
      </c>
      <c r="AE18" s="24">
        <f t="shared" si="13"/>
        <v>1</v>
      </c>
      <c r="AF18" s="24">
        <f t="shared" si="13"/>
        <v>0</v>
      </c>
      <c r="AG18" s="53"/>
      <c r="AH18" s="53"/>
      <c r="AI18" s="53"/>
      <c r="AJ18" s="53"/>
      <c r="AK18" s="53"/>
    </row>
    <row r="19">
      <c r="A19" s="26" t="s">
        <v>50</v>
      </c>
      <c r="B19" s="27">
        <f t="shared" ref="B19:AF19" si="14">COUNTIF(B15:B17,"N")</f>
        <v>1</v>
      </c>
      <c r="C19" s="27">
        <f t="shared" si="14"/>
        <v>1</v>
      </c>
      <c r="D19" s="27">
        <f t="shared" si="14"/>
        <v>0</v>
      </c>
      <c r="E19" s="27">
        <f t="shared" si="14"/>
        <v>0</v>
      </c>
      <c r="F19" s="27">
        <f t="shared" si="14"/>
        <v>1</v>
      </c>
      <c r="G19" s="27">
        <f t="shared" si="14"/>
        <v>1</v>
      </c>
      <c r="H19" s="27">
        <f t="shared" si="14"/>
        <v>1</v>
      </c>
      <c r="I19" s="27">
        <f t="shared" si="14"/>
        <v>1</v>
      </c>
      <c r="J19" s="27">
        <f t="shared" si="14"/>
        <v>1</v>
      </c>
      <c r="K19" s="27">
        <f t="shared" si="14"/>
        <v>0</v>
      </c>
      <c r="L19" s="27">
        <f t="shared" si="14"/>
        <v>0</v>
      </c>
      <c r="M19" s="27">
        <f t="shared" si="14"/>
        <v>1</v>
      </c>
      <c r="N19" s="27">
        <f t="shared" si="14"/>
        <v>1</v>
      </c>
      <c r="O19" s="27">
        <f t="shared" si="14"/>
        <v>1</v>
      </c>
      <c r="P19" s="27">
        <f t="shared" si="14"/>
        <v>1</v>
      </c>
      <c r="Q19" s="27">
        <f t="shared" si="14"/>
        <v>1</v>
      </c>
      <c r="R19" s="27">
        <f t="shared" si="14"/>
        <v>0</v>
      </c>
      <c r="S19" s="27">
        <f t="shared" si="14"/>
        <v>0</v>
      </c>
      <c r="T19" s="27">
        <f t="shared" si="14"/>
        <v>1</v>
      </c>
      <c r="U19" s="27">
        <f t="shared" si="14"/>
        <v>1</v>
      </c>
      <c r="V19" s="27">
        <f t="shared" si="14"/>
        <v>1</v>
      </c>
      <c r="W19" s="27">
        <f t="shared" si="14"/>
        <v>1</v>
      </c>
      <c r="X19" s="27">
        <f t="shared" si="14"/>
        <v>1</v>
      </c>
      <c r="Y19" s="27">
        <f t="shared" si="14"/>
        <v>0</v>
      </c>
      <c r="Z19" s="27">
        <f t="shared" si="14"/>
        <v>0</v>
      </c>
      <c r="AA19" s="27">
        <f t="shared" si="14"/>
        <v>1</v>
      </c>
      <c r="AB19" s="27">
        <f t="shared" si="14"/>
        <v>1</v>
      </c>
      <c r="AC19" s="27">
        <f t="shared" si="14"/>
        <v>1</v>
      </c>
      <c r="AD19" s="27">
        <f t="shared" si="14"/>
        <v>1</v>
      </c>
      <c r="AE19" s="27">
        <f t="shared" si="14"/>
        <v>1</v>
      </c>
      <c r="AF19" s="27">
        <f t="shared" si="14"/>
        <v>0</v>
      </c>
      <c r="AG19" s="22"/>
      <c r="AH19" s="22"/>
      <c r="AI19" s="22"/>
      <c r="AJ19" s="22"/>
      <c r="AK19" s="22"/>
    </row>
    <row r="20">
      <c r="I20" s="28"/>
      <c r="J20" s="11"/>
      <c r="K20" s="68"/>
      <c r="L20" s="68"/>
      <c r="M20" s="68"/>
      <c r="N20" s="68"/>
      <c r="O20" s="68"/>
      <c r="P20" s="68"/>
      <c r="Q20" s="68"/>
      <c r="R20" s="11"/>
      <c r="S20" s="11"/>
      <c r="T20" s="11"/>
      <c r="U20" s="11"/>
      <c r="V20" s="43" t="s">
        <v>0</v>
      </c>
      <c r="W20" s="11"/>
      <c r="AG20" s="22"/>
      <c r="AH20" s="22"/>
      <c r="AI20" s="22"/>
      <c r="AJ20" s="22"/>
      <c r="AK20" s="22"/>
    </row>
    <row r="22">
      <c r="A22" s="6"/>
      <c r="B22" s="11"/>
      <c r="C22" s="29" t="s">
        <v>51</v>
      </c>
      <c r="D22" s="30"/>
      <c r="E22" s="30"/>
      <c r="F22" s="31"/>
      <c r="H22" s="13"/>
      <c r="I22" s="71"/>
      <c r="J22" s="71"/>
      <c r="K22" s="71"/>
      <c r="L22" s="71"/>
      <c r="M22" s="71"/>
      <c r="N22" s="71"/>
      <c r="O22" s="71"/>
      <c r="P22" s="19"/>
      <c r="Q22" s="70"/>
      <c r="R22" s="70"/>
      <c r="S22" s="70"/>
      <c r="T22" s="71"/>
      <c r="U22" s="71"/>
      <c r="V22" s="71"/>
      <c r="W22" s="71"/>
      <c r="X22" s="71"/>
      <c r="Y22" s="71"/>
      <c r="Z22" s="71"/>
    </row>
    <row r="23">
      <c r="A23" s="6"/>
      <c r="B23" s="87"/>
      <c r="C23" s="33" t="s">
        <v>38</v>
      </c>
      <c r="D23" s="1" t="s">
        <v>52</v>
      </c>
      <c r="F23" s="34"/>
      <c r="I23" s="70"/>
      <c r="J23" s="70"/>
      <c r="K23" s="70"/>
      <c r="L23" s="70"/>
      <c r="M23" s="70"/>
      <c r="N23" s="70"/>
      <c r="O23" s="70"/>
      <c r="P23" s="13"/>
      <c r="Q23" s="60"/>
      <c r="R23" s="61"/>
      <c r="S23" s="61"/>
      <c r="T23" s="70"/>
      <c r="U23" s="70"/>
      <c r="V23" s="70"/>
      <c r="W23" s="70"/>
      <c r="X23" s="70"/>
      <c r="Y23" s="70"/>
      <c r="Z23" s="70"/>
      <c r="AD23" s="86"/>
      <c r="AE23" s="86"/>
      <c r="AF23" s="86"/>
      <c r="AG23" s="94"/>
      <c r="AH23" s="94"/>
      <c r="AI23" s="94"/>
      <c r="AJ23" s="94"/>
      <c r="AK23" s="94"/>
    </row>
    <row r="24">
      <c r="A24" s="12"/>
      <c r="B24" s="87"/>
      <c r="C24" s="33" t="s">
        <v>39</v>
      </c>
      <c r="D24" s="1" t="s">
        <v>53</v>
      </c>
      <c r="F24" s="34"/>
      <c r="H24" s="19"/>
      <c r="I24" s="13"/>
      <c r="J24" s="60"/>
      <c r="K24" s="61"/>
      <c r="L24" s="61"/>
      <c r="M24" s="61"/>
      <c r="N24" s="61"/>
      <c r="O24" s="61"/>
      <c r="P24" s="13"/>
      <c r="Q24" s="70"/>
      <c r="R24" s="70"/>
      <c r="S24" s="70"/>
      <c r="T24" s="60"/>
      <c r="U24" s="60"/>
      <c r="V24" s="60"/>
      <c r="W24" s="60"/>
      <c r="X24" s="60"/>
      <c r="Y24" s="61"/>
      <c r="Z24" s="61"/>
      <c r="AD24" s="87"/>
      <c r="AE24" s="87"/>
      <c r="AF24" s="87"/>
      <c r="AG24" s="87"/>
      <c r="AH24" s="87"/>
      <c r="AI24" s="87"/>
      <c r="AJ24" s="87"/>
      <c r="AK24" s="87"/>
    </row>
    <row r="25">
      <c r="B25" s="71"/>
      <c r="C25" s="33" t="s">
        <v>41</v>
      </c>
      <c r="D25" s="1" t="s">
        <v>54</v>
      </c>
      <c r="F25" s="34"/>
      <c r="H25" s="13"/>
      <c r="I25" s="70"/>
      <c r="J25" s="70"/>
      <c r="K25" s="70"/>
      <c r="L25" s="70"/>
      <c r="M25" s="70"/>
      <c r="N25" s="70"/>
      <c r="O25" s="70"/>
      <c r="P25" s="13"/>
      <c r="Q25" s="69"/>
      <c r="R25" s="69"/>
      <c r="S25" s="69"/>
      <c r="T25" s="70"/>
      <c r="U25" s="70"/>
      <c r="V25" s="88"/>
      <c r="W25" s="88"/>
      <c r="X25" s="70"/>
      <c r="Y25" s="70"/>
      <c r="Z25" s="70"/>
      <c r="AD25" s="71"/>
      <c r="AE25" s="71"/>
      <c r="AF25" s="71"/>
      <c r="AG25" s="95"/>
      <c r="AH25" s="95"/>
      <c r="AI25" s="95"/>
      <c r="AJ25" s="95"/>
      <c r="AK25" s="96"/>
    </row>
    <row r="26">
      <c r="A26" s="97"/>
      <c r="B26" s="69"/>
      <c r="C26" s="33" t="s">
        <v>55</v>
      </c>
      <c r="D26" s="1" t="s">
        <v>56</v>
      </c>
      <c r="F26" s="34"/>
      <c r="G26" s="72"/>
      <c r="H26" s="13"/>
      <c r="I26" s="70"/>
      <c r="J26" s="70"/>
      <c r="K26" s="70"/>
      <c r="L26" s="70"/>
      <c r="M26" s="70"/>
      <c r="N26" s="70"/>
      <c r="O26" s="70"/>
      <c r="P26" s="13"/>
      <c r="R26" s="20"/>
      <c r="S26" s="20"/>
      <c r="T26" s="20"/>
      <c r="U26" s="20"/>
      <c r="V26" s="13"/>
      <c r="AD26" s="71"/>
      <c r="AE26" s="71"/>
      <c r="AF26" s="71"/>
      <c r="AG26" s="98"/>
      <c r="AH26" s="98"/>
      <c r="AI26" s="98"/>
      <c r="AJ26" s="98"/>
      <c r="AK26" s="99"/>
    </row>
    <row r="27">
      <c r="A27" s="97"/>
      <c r="B27" s="69"/>
      <c r="C27" s="33" t="s">
        <v>40</v>
      </c>
      <c r="D27" s="1" t="s">
        <v>57</v>
      </c>
      <c r="F27" s="34"/>
      <c r="G27" s="20"/>
      <c r="H27" s="13"/>
      <c r="I27" s="25"/>
      <c r="J27" s="25"/>
      <c r="K27" s="25"/>
      <c r="L27" s="25"/>
      <c r="M27" s="25"/>
      <c r="N27" s="25"/>
      <c r="O27" s="25"/>
      <c r="R27" s="20"/>
      <c r="S27" s="20"/>
      <c r="T27" s="20"/>
      <c r="U27" s="20"/>
      <c r="V27" s="89"/>
      <c r="AD27" s="70"/>
      <c r="AE27" s="70"/>
      <c r="AF27" s="70"/>
      <c r="AG27" s="98"/>
      <c r="AH27" s="98"/>
      <c r="AI27" s="98"/>
      <c r="AJ27" s="98"/>
      <c r="AK27" s="99"/>
    </row>
    <row r="28">
      <c r="A28" s="87"/>
      <c r="B28" s="60"/>
      <c r="C28" s="33" t="s">
        <v>58</v>
      </c>
      <c r="D28" s="1" t="s">
        <v>59</v>
      </c>
      <c r="F28" s="34"/>
      <c r="G28" s="20"/>
      <c r="H28" s="55"/>
      <c r="I28" s="25"/>
      <c r="J28" s="25"/>
      <c r="K28" s="25"/>
      <c r="L28" s="25"/>
      <c r="M28" s="25"/>
      <c r="N28" s="25"/>
      <c r="O28" s="25"/>
      <c r="R28" s="20"/>
      <c r="S28" s="20"/>
      <c r="T28" s="20"/>
      <c r="U28" s="20"/>
      <c r="AD28" s="61"/>
      <c r="AE28" s="61"/>
      <c r="AF28" s="61"/>
      <c r="AG28" s="98"/>
      <c r="AH28" s="98"/>
      <c r="AI28" s="98"/>
      <c r="AJ28" s="98"/>
      <c r="AK28" s="99"/>
    </row>
    <row r="29">
      <c r="A29" s="87"/>
      <c r="B29" s="69"/>
      <c r="C29" s="33" t="s">
        <v>60</v>
      </c>
      <c r="D29" s="1" t="s">
        <v>61</v>
      </c>
      <c r="F29" s="34"/>
      <c r="I29" s="25"/>
      <c r="J29" s="25"/>
      <c r="K29" s="25"/>
      <c r="L29" s="25"/>
      <c r="M29" s="20"/>
      <c r="N29" s="20"/>
      <c r="O29" s="20"/>
      <c r="AD29" s="70"/>
      <c r="AE29" s="70"/>
      <c r="AF29" s="70"/>
      <c r="AG29" s="98"/>
      <c r="AH29" s="98"/>
      <c r="AI29" s="98"/>
      <c r="AJ29" s="98"/>
      <c r="AK29" s="99"/>
    </row>
    <row r="30">
      <c r="A30" s="71"/>
      <c r="B30" s="25"/>
      <c r="C30" s="33" t="s">
        <v>44</v>
      </c>
      <c r="D30" s="1" t="s">
        <v>62</v>
      </c>
      <c r="F30" s="34"/>
      <c r="AD30" s="25"/>
      <c r="AE30" s="25"/>
      <c r="AF30" s="25"/>
      <c r="AG30" s="68"/>
      <c r="AH30" s="68"/>
      <c r="AI30" s="68"/>
      <c r="AJ30" s="98"/>
      <c r="AK30" s="68"/>
    </row>
    <row r="31">
      <c r="A31" s="71"/>
      <c r="B31" s="25"/>
      <c r="C31" s="33" t="s">
        <v>63</v>
      </c>
      <c r="D31" s="1" t="s">
        <v>64</v>
      </c>
      <c r="F31" s="34"/>
      <c r="AD31" s="25"/>
      <c r="AE31" s="25"/>
      <c r="AF31" s="25"/>
      <c r="AG31" s="68"/>
      <c r="AH31" s="68"/>
      <c r="AI31" s="68"/>
      <c r="AJ31" s="68"/>
      <c r="AK31" s="68"/>
    </row>
    <row r="32">
      <c r="C32" s="33" t="s">
        <v>65</v>
      </c>
      <c r="D32" s="1" t="s">
        <v>66</v>
      </c>
      <c r="F32" s="34"/>
    </row>
    <row r="33">
      <c r="C33" s="33" t="s">
        <v>46</v>
      </c>
      <c r="D33" s="1" t="s">
        <v>67</v>
      </c>
      <c r="F33" s="34"/>
    </row>
    <row r="34">
      <c r="C34" s="35" t="s">
        <v>68</v>
      </c>
      <c r="D34" s="36" t="s">
        <v>69</v>
      </c>
      <c r="E34" s="8"/>
      <c r="F34" s="37"/>
      <c r="AG34" s="22"/>
      <c r="AH34" s="22"/>
      <c r="AI34" s="22"/>
      <c r="AJ34" s="22"/>
      <c r="AK34" s="22"/>
    </row>
    <row r="35">
      <c r="AG35" s="22"/>
      <c r="AH35" s="22"/>
      <c r="AI35" s="22"/>
      <c r="AJ35" s="22"/>
      <c r="AK35" s="22"/>
    </row>
    <row r="49">
      <c r="E49" s="1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E52" s="69"/>
      <c r="F52" s="69"/>
      <c r="G52" s="69"/>
      <c r="H52" s="69"/>
      <c r="I52" s="69"/>
      <c r="J52" s="69"/>
      <c r="K52" s="69"/>
      <c r="L52" s="60"/>
      <c r="M52" s="60"/>
      <c r="N52" s="60"/>
      <c r="O52" s="60"/>
      <c r="P52" s="61"/>
      <c r="Q52" s="61"/>
      <c r="R52" s="61"/>
      <c r="S52" s="70"/>
      <c r="T52" s="70"/>
      <c r="U52" s="70"/>
    </row>
    <row r="53"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0"/>
      <c r="T53" s="60"/>
      <c r="U53" s="60"/>
    </row>
    <row r="54">
      <c r="E54" s="60"/>
      <c r="F54" s="60"/>
      <c r="G54" s="60"/>
      <c r="H54" s="60"/>
      <c r="I54" s="60"/>
      <c r="J54" s="61"/>
      <c r="K54" s="61"/>
      <c r="L54" s="70"/>
      <c r="M54" s="70"/>
      <c r="N54" s="70"/>
      <c r="O54" s="70"/>
      <c r="P54" s="70"/>
      <c r="Q54" s="70"/>
      <c r="R54" s="70"/>
      <c r="S54" s="70"/>
      <c r="T54" s="70"/>
      <c r="U54" s="70"/>
    </row>
    <row r="5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</sheetData>
  <mergeCells count="16">
    <mergeCell ref="B1:AC3"/>
    <mergeCell ref="B14:AF14"/>
    <mergeCell ref="C22:F22"/>
    <mergeCell ref="D23:F23"/>
    <mergeCell ref="D24:F24"/>
    <mergeCell ref="D25:F25"/>
    <mergeCell ref="D26:F26"/>
    <mergeCell ref="D33:F33"/>
    <mergeCell ref="D34:F34"/>
    <mergeCell ref="D27:F27"/>
    <mergeCell ref="V27:AC29"/>
    <mergeCell ref="D28:F28"/>
    <mergeCell ref="D29:F29"/>
    <mergeCell ref="D30:F30"/>
    <mergeCell ref="D31:F31"/>
    <mergeCell ref="D32:F32"/>
  </mergeCells>
  <conditionalFormatting sqref="B9:H9 R26:U26 B28 E54:K54">
    <cfRule type="cellIs" dxfId="0" priority="1" operator="equal">
      <formula>"X"</formula>
    </cfRule>
  </conditionalFormatting>
  <conditionalFormatting sqref="B9:H9 R26:U26 B28 E54:K54">
    <cfRule type="cellIs" dxfId="1" priority="2" operator="equal">
      <formula>"D"</formula>
    </cfRule>
  </conditionalFormatting>
  <conditionalFormatting sqref="B9:H9 R26:U26 B28 E54:K54">
    <cfRule type="cellIs" dxfId="2" priority="3" operator="equal">
      <formula>"N"</formula>
    </cfRule>
  </conditionalFormatting>
  <conditionalFormatting sqref="B9:H9 R26:U26 B28 E54:K54">
    <cfRule type="cellIs" dxfId="3" priority="4" operator="equal">
      <formula>"OB"</formula>
    </cfRule>
  </conditionalFormatting>
  <conditionalFormatting sqref="B9:H9 R26:U26 B28 E54:K54">
    <cfRule type="cellIs" dxfId="0" priority="5" operator="equal">
      <formula>"C"</formula>
    </cfRule>
  </conditionalFormatting>
  <conditionalFormatting sqref="B9:H9 R26:U26 B28 E54:K54">
    <cfRule type="cellIs" dxfId="0" priority="6" operator="equal">
      <formula>"AL"</formula>
    </cfRule>
  </conditionalFormatting>
  <conditionalFormatting sqref="B9:H9 R26:U26 B28 E54:K54">
    <cfRule type="cellIs" dxfId="4" priority="7" operator="equal">
      <formula>"UP"</formula>
    </cfRule>
  </conditionalFormatting>
  <conditionalFormatting sqref="B9:H9 R26:U26 B28 E54:K54">
    <cfRule type="cellIs" dxfId="0" priority="8" operator="equal">
      <formula>"S"</formula>
    </cfRule>
  </conditionalFormatting>
  <conditionalFormatting sqref="B9:H9 R26:U26 B28 E54:K54">
    <cfRule type="cellIs" dxfId="5" priority="9" operator="equal">
      <formula>"OC"</formula>
    </cfRule>
  </conditionalFormatting>
  <conditionalFormatting sqref="B9:H9 R26:U26 B28 E54:K54">
    <cfRule type="cellIs" dxfId="6" priority="10" operator="equal">
      <formula>"SPV"</formula>
    </cfRule>
  </conditionalFormatting>
  <conditionalFormatting sqref="B9:H9 R26:U26 B28 E54:K54">
    <cfRule type="cellIs" dxfId="7" priority="11" operator="equal">
      <formula>"INT"</formula>
    </cfRule>
  </conditionalFormatting>
  <conditionalFormatting sqref="B9:H9 R26:U26 B28 E54:K54">
    <cfRule type="cellIs" dxfId="8" priority="12" operator="equal">
      <formula>"T"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3" operator="equal">
      <formula>"X"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1" priority="14" operator="equal">
      <formula>"D"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2" priority="15" operator="equal">
      <formula>"N"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3" priority="16" operator="equal">
      <formula>"OB"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7" operator="equal">
      <formula>"C"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8" operator="equal">
      <formula>"AL"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4" priority="19" operator="equal">
      <formula>"UP"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20" operator="equal">
      <formula>"S"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5" priority="21" operator="equal">
      <formula>"OC"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6" priority="22" operator="equal">
      <formula>"SPV"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7" priority="23" operator="equal">
      <formula>"INT"</formula>
    </cfRule>
  </conditionalFormatting>
  <conditionalFormatting sqref="B6:AF11 A10 B15:AF17 I22:I23 J22:O29 Q22:Z29 B23:G29 H23:H26 P23:P29 AA23:AF29 I25:I29 H28:H29 K34:P40 Q34:Q38 S34:AB37 T39:W40 J40 E51:U55">
    <cfRule type="cellIs" dxfId="8" priority="24" operator="equal">
      <formula>"T"</formula>
    </cfRule>
  </conditionalFormatting>
  <conditionalFormatting sqref="C33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91" t="s">
        <v>142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92"/>
      <c r="AG3" s="4"/>
      <c r="AH3" s="4"/>
      <c r="AI3" s="4"/>
      <c r="AJ3" s="4"/>
      <c r="AK3" s="4"/>
    </row>
    <row r="4">
      <c r="A4" s="6"/>
      <c r="B4" s="10" t="s">
        <v>5</v>
      </c>
      <c r="C4" s="10" t="s">
        <v>6</v>
      </c>
      <c r="D4" s="10" t="s">
        <v>7</v>
      </c>
      <c r="E4" s="10" t="s">
        <v>8</v>
      </c>
      <c r="F4" s="10" t="s">
        <v>2</v>
      </c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  <c r="M4" s="10" t="s">
        <v>2</v>
      </c>
      <c r="N4" s="10" t="s">
        <v>3</v>
      </c>
      <c r="O4" s="10" t="s">
        <v>4</v>
      </c>
      <c r="P4" s="10" t="s">
        <v>5</v>
      </c>
      <c r="Q4" s="10" t="s">
        <v>6</v>
      </c>
      <c r="R4" s="10" t="s">
        <v>7</v>
      </c>
      <c r="S4" s="10" t="s">
        <v>8</v>
      </c>
      <c r="T4" s="10" t="s">
        <v>2</v>
      </c>
      <c r="U4" s="10" t="s">
        <v>3</v>
      </c>
      <c r="V4" s="10" t="s">
        <v>4</v>
      </c>
      <c r="W4" s="10" t="s">
        <v>5</v>
      </c>
      <c r="X4" s="10" t="s">
        <v>6</v>
      </c>
      <c r="Y4" s="10" t="s">
        <v>7</v>
      </c>
      <c r="Z4" s="10" t="s">
        <v>8</v>
      </c>
      <c r="AA4" s="10" t="s">
        <v>2</v>
      </c>
      <c r="AB4" s="13" t="s">
        <v>3</v>
      </c>
      <c r="AC4" s="10" t="s">
        <v>4</v>
      </c>
      <c r="AD4" s="10" t="s">
        <v>5</v>
      </c>
      <c r="AE4" s="10" t="s">
        <v>6</v>
      </c>
      <c r="AF4" s="10" t="s">
        <v>7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44" t="s">
        <v>38</v>
      </c>
      <c r="AH5" s="45" t="s">
        <v>39</v>
      </c>
      <c r="AI5" s="46" t="s">
        <v>40</v>
      </c>
      <c r="AJ5" s="48" t="s">
        <v>42</v>
      </c>
      <c r="AK5" s="54" t="s">
        <v>76</v>
      </c>
    </row>
    <row r="6">
      <c r="A6" s="19" t="s">
        <v>137</v>
      </c>
      <c r="B6" s="71" t="s">
        <v>38</v>
      </c>
      <c r="C6" s="71" t="s">
        <v>38</v>
      </c>
      <c r="D6" s="71" t="s">
        <v>38</v>
      </c>
      <c r="E6" s="71" t="s">
        <v>40</v>
      </c>
      <c r="F6" s="71" t="s">
        <v>38</v>
      </c>
      <c r="G6" s="71" t="s">
        <v>38</v>
      </c>
      <c r="H6" s="71" t="s">
        <v>40</v>
      </c>
      <c r="I6" s="71" t="s">
        <v>40</v>
      </c>
      <c r="J6" s="71" t="s">
        <v>38</v>
      </c>
      <c r="K6" s="71" t="s">
        <v>38</v>
      </c>
      <c r="L6" s="71" t="s">
        <v>40</v>
      </c>
      <c r="M6" s="71" t="s">
        <v>40</v>
      </c>
      <c r="N6" s="71" t="s">
        <v>38</v>
      </c>
      <c r="O6" s="71" t="s">
        <v>38</v>
      </c>
      <c r="P6" s="71" t="s">
        <v>40</v>
      </c>
      <c r="Q6" s="71" t="s">
        <v>40</v>
      </c>
      <c r="R6" s="71" t="s">
        <v>40</v>
      </c>
      <c r="S6" s="71" t="s">
        <v>39</v>
      </c>
      <c r="T6" s="71" t="s">
        <v>39</v>
      </c>
      <c r="U6" s="71" t="s">
        <v>40</v>
      </c>
      <c r="V6" s="71" t="s">
        <v>40</v>
      </c>
      <c r="W6" s="71" t="s">
        <v>39</v>
      </c>
      <c r="X6" s="71" t="s">
        <v>39</v>
      </c>
      <c r="Y6" s="71" t="s">
        <v>40</v>
      </c>
      <c r="Z6" s="71" t="s">
        <v>40</v>
      </c>
      <c r="AA6" s="71" t="s">
        <v>39</v>
      </c>
      <c r="AB6" s="71" t="s">
        <v>39</v>
      </c>
      <c r="AC6" s="71" t="s">
        <v>40</v>
      </c>
      <c r="AD6" s="71" t="s">
        <v>40</v>
      </c>
      <c r="AE6" s="71" t="s">
        <v>40</v>
      </c>
      <c r="AF6" s="71" t="s">
        <v>39</v>
      </c>
      <c r="AG6" s="49">
        <f t="shared" ref="AG6:AG11" si="1">COUNTIF(B6:AF6,"D")</f>
        <v>9</v>
      </c>
      <c r="AH6" s="49">
        <f t="shared" ref="AH6:AH11" si="2">COUNTIF(B6:AF6,"N")</f>
        <v>7</v>
      </c>
      <c r="AI6" s="49">
        <f t="shared" ref="AI6:AI11" si="3">COUNTIF(B6:AF6,"X")</f>
        <v>15</v>
      </c>
      <c r="AJ6" s="49">
        <f t="shared" ref="AJ6:AJ11" si="4">AG6+AH6</f>
        <v>16</v>
      </c>
      <c r="AK6" s="84">
        <f t="shared" ref="AK6:AK11" si="5">(AJ6*12)/4.2</f>
        <v>45.71428571</v>
      </c>
    </row>
    <row r="7">
      <c r="A7" s="19" t="s">
        <v>43</v>
      </c>
      <c r="B7" s="69" t="s">
        <v>39</v>
      </c>
      <c r="C7" s="69" t="s">
        <v>39</v>
      </c>
      <c r="D7" s="69" t="s">
        <v>40</v>
      </c>
      <c r="E7" s="69" t="s">
        <v>40</v>
      </c>
      <c r="F7" s="69" t="s">
        <v>39</v>
      </c>
      <c r="G7" s="69" t="s">
        <v>39</v>
      </c>
      <c r="H7" s="69" t="s">
        <v>40</v>
      </c>
      <c r="I7" s="60" t="s">
        <v>40</v>
      </c>
      <c r="J7" s="60" t="s">
        <v>60</v>
      </c>
      <c r="K7" s="60" t="s">
        <v>39</v>
      </c>
      <c r="L7" s="60" t="s">
        <v>40</v>
      </c>
      <c r="M7" s="61" t="s">
        <v>40</v>
      </c>
      <c r="N7" s="61" t="s">
        <v>39</v>
      </c>
      <c r="O7" s="61" t="s">
        <v>39</v>
      </c>
      <c r="P7" s="70" t="s">
        <v>40</v>
      </c>
      <c r="Q7" s="70" t="s">
        <v>40</v>
      </c>
      <c r="R7" s="70" t="s">
        <v>60</v>
      </c>
      <c r="S7" s="70" t="s">
        <v>38</v>
      </c>
      <c r="T7" s="70" t="s">
        <v>40</v>
      </c>
      <c r="U7" s="70" t="s">
        <v>40</v>
      </c>
      <c r="V7" s="70" t="s">
        <v>38</v>
      </c>
      <c r="W7" s="71" t="s">
        <v>40</v>
      </c>
      <c r="X7" s="70" t="s">
        <v>40</v>
      </c>
      <c r="Y7" s="71" t="s">
        <v>39</v>
      </c>
      <c r="Z7" s="71" t="s">
        <v>39</v>
      </c>
      <c r="AA7" s="71" t="s">
        <v>40</v>
      </c>
      <c r="AB7" s="71" t="s">
        <v>40</v>
      </c>
      <c r="AC7" s="71" t="s">
        <v>39</v>
      </c>
      <c r="AD7" s="71" t="s">
        <v>39</v>
      </c>
      <c r="AE7" s="71" t="s">
        <v>39</v>
      </c>
      <c r="AF7" s="71" t="s">
        <v>40</v>
      </c>
      <c r="AG7" s="49">
        <f t="shared" si="1"/>
        <v>2</v>
      </c>
      <c r="AH7" s="49">
        <f t="shared" si="2"/>
        <v>12</v>
      </c>
      <c r="AI7" s="49">
        <f t="shared" si="3"/>
        <v>15</v>
      </c>
      <c r="AJ7" s="49">
        <f t="shared" si="4"/>
        <v>14</v>
      </c>
      <c r="AK7" s="84">
        <f t="shared" si="5"/>
        <v>40</v>
      </c>
    </row>
    <row r="8">
      <c r="A8" s="13" t="s">
        <v>138</v>
      </c>
      <c r="B8" s="69" t="s">
        <v>40</v>
      </c>
      <c r="C8" s="69" t="s">
        <v>40</v>
      </c>
      <c r="D8" s="69" t="s">
        <v>39</v>
      </c>
      <c r="E8" s="69" t="s">
        <v>39</v>
      </c>
      <c r="F8" s="69" t="s">
        <v>40</v>
      </c>
      <c r="G8" s="69" t="s">
        <v>40</v>
      </c>
      <c r="H8" s="69" t="s">
        <v>39</v>
      </c>
      <c r="I8" s="69" t="s">
        <v>39</v>
      </c>
      <c r="J8" s="69" t="s">
        <v>40</v>
      </c>
      <c r="K8" s="69" t="s">
        <v>40</v>
      </c>
      <c r="L8" s="69" t="s">
        <v>39</v>
      </c>
      <c r="M8" s="69" t="s">
        <v>39</v>
      </c>
      <c r="N8" s="69" t="s">
        <v>40</v>
      </c>
      <c r="O8" s="69" t="s">
        <v>40</v>
      </c>
      <c r="P8" s="60" t="s">
        <v>39</v>
      </c>
      <c r="Q8" s="60" t="s">
        <v>39</v>
      </c>
      <c r="R8" s="60" t="s">
        <v>39</v>
      </c>
      <c r="S8" s="60" t="s">
        <v>40</v>
      </c>
      <c r="T8" s="60" t="s">
        <v>60</v>
      </c>
      <c r="U8" s="61" t="s">
        <v>39</v>
      </c>
      <c r="V8" s="61" t="s">
        <v>39</v>
      </c>
      <c r="W8" s="70" t="s">
        <v>40</v>
      </c>
      <c r="X8" s="1" t="s">
        <v>40</v>
      </c>
      <c r="Y8" s="70" t="s">
        <v>38</v>
      </c>
      <c r="Z8" s="70" t="s">
        <v>38</v>
      </c>
      <c r="AA8" s="70" t="s">
        <v>40</v>
      </c>
      <c r="AB8" s="70" t="s">
        <v>40</v>
      </c>
      <c r="AC8" s="70" t="s">
        <v>38</v>
      </c>
      <c r="AD8" s="70" t="s">
        <v>38</v>
      </c>
      <c r="AE8" s="70" t="s">
        <v>40</v>
      </c>
      <c r="AF8" s="70" t="s">
        <v>40</v>
      </c>
      <c r="AG8" s="49">
        <f t="shared" si="1"/>
        <v>4</v>
      </c>
      <c r="AH8" s="49">
        <f t="shared" si="2"/>
        <v>11</v>
      </c>
      <c r="AI8" s="49">
        <f t="shared" si="3"/>
        <v>15</v>
      </c>
      <c r="AJ8" s="49">
        <f t="shared" si="4"/>
        <v>15</v>
      </c>
      <c r="AK8" s="84">
        <f t="shared" si="5"/>
        <v>42.85714286</v>
      </c>
    </row>
    <row r="9">
      <c r="A9" s="13" t="s">
        <v>48</v>
      </c>
      <c r="B9" s="60" t="s">
        <v>40</v>
      </c>
      <c r="C9" s="60" t="s">
        <v>40</v>
      </c>
      <c r="D9" s="60" t="s">
        <v>68</v>
      </c>
      <c r="E9" s="60" t="s">
        <v>38</v>
      </c>
      <c r="F9" s="60" t="s">
        <v>68</v>
      </c>
      <c r="G9" s="61" t="s">
        <v>40</v>
      </c>
      <c r="H9" s="61" t="s">
        <v>38</v>
      </c>
      <c r="I9" s="70" t="s">
        <v>38</v>
      </c>
      <c r="J9" s="70" t="s">
        <v>40</v>
      </c>
      <c r="K9" s="70" t="s">
        <v>40</v>
      </c>
      <c r="L9" s="70" t="s">
        <v>38</v>
      </c>
      <c r="M9" s="70" t="s">
        <v>60</v>
      </c>
      <c r="N9" s="70" t="s">
        <v>40</v>
      </c>
      <c r="O9" s="70" t="s">
        <v>40</v>
      </c>
      <c r="P9" s="70" t="s">
        <v>60</v>
      </c>
      <c r="Q9" s="70" t="s">
        <v>38</v>
      </c>
      <c r="R9" s="70" t="s">
        <v>38</v>
      </c>
      <c r="S9" s="70" t="s">
        <v>40</v>
      </c>
      <c r="T9" s="70" t="s">
        <v>44</v>
      </c>
      <c r="U9" s="70" t="s">
        <v>44</v>
      </c>
      <c r="V9" s="70" t="s">
        <v>44</v>
      </c>
      <c r="W9" s="60" t="s">
        <v>44</v>
      </c>
      <c r="X9" s="60" t="s">
        <v>44</v>
      </c>
      <c r="Y9" s="60" t="s">
        <v>40</v>
      </c>
      <c r="Z9" s="60" t="s">
        <v>40</v>
      </c>
      <c r="AA9" s="60" t="s">
        <v>38</v>
      </c>
      <c r="AB9" s="61" t="s">
        <v>38</v>
      </c>
      <c r="AC9" s="61" t="s">
        <v>40</v>
      </c>
      <c r="AD9" s="61" t="s">
        <v>40</v>
      </c>
      <c r="AE9" s="61" t="s">
        <v>38</v>
      </c>
      <c r="AF9" s="61" t="s">
        <v>38</v>
      </c>
      <c r="AG9" s="49">
        <f t="shared" si="1"/>
        <v>10</v>
      </c>
      <c r="AH9" s="49">
        <f t="shared" si="2"/>
        <v>0</v>
      </c>
      <c r="AI9" s="49">
        <f t="shared" si="3"/>
        <v>12</v>
      </c>
      <c r="AJ9" s="49">
        <f t="shared" si="4"/>
        <v>10</v>
      </c>
      <c r="AK9" s="84">
        <f t="shared" si="5"/>
        <v>28.57142857</v>
      </c>
    </row>
    <row r="10">
      <c r="A10" s="88" t="s">
        <v>47</v>
      </c>
      <c r="B10" s="69"/>
      <c r="C10" s="69"/>
      <c r="D10" s="69"/>
      <c r="E10" s="69"/>
      <c r="F10" s="69"/>
      <c r="G10" s="69"/>
      <c r="H10" s="69"/>
      <c r="I10" s="69"/>
      <c r="J10" s="69" t="s">
        <v>39</v>
      </c>
      <c r="K10" s="69"/>
      <c r="L10" s="69"/>
      <c r="M10" s="69" t="s">
        <v>38</v>
      </c>
      <c r="N10" s="69"/>
      <c r="O10" s="69"/>
      <c r="P10" s="69" t="s">
        <v>38</v>
      </c>
      <c r="Q10" s="69"/>
      <c r="R10" s="69"/>
      <c r="S10" s="69"/>
      <c r="T10" s="69" t="s">
        <v>38</v>
      </c>
      <c r="U10" s="69"/>
      <c r="V10" s="69"/>
      <c r="W10" s="70" t="s">
        <v>38</v>
      </c>
      <c r="X10" s="70" t="s">
        <v>38</v>
      </c>
      <c r="Y10" s="70"/>
      <c r="Z10" s="70"/>
      <c r="AA10" s="70"/>
      <c r="AB10" s="70"/>
      <c r="AC10" s="70"/>
      <c r="AD10" s="70"/>
      <c r="AE10" s="70"/>
      <c r="AF10" s="70"/>
      <c r="AG10" s="49">
        <f t="shared" si="1"/>
        <v>5</v>
      </c>
      <c r="AH10" s="49">
        <f t="shared" si="2"/>
        <v>1</v>
      </c>
      <c r="AI10" s="49">
        <f t="shared" si="3"/>
        <v>0</v>
      </c>
      <c r="AJ10" s="49">
        <f t="shared" si="4"/>
        <v>6</v>
      </c>
      <c r="AK10" s="84">
        <f t="shared" si="5"/>
        <v>17.14285714</v>
      </c>
    </row>
    <row r="11">
      <c r="A11" s="13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49">
        <f t="shared" si="1"/>
        <v>0</v>
      </c>
      <c r="AH11" s="49">
        <f t="shared" si="2"/>
        <v>0</v>
      </c>
      <c r="AI11" s="49">
        <f t="shared" si="3"/>
        <v>0</v>
      </c>
      <c r="AJ11" s="49">
        <f t="shared" si="4"/>
        <v>0</v>
      </c>
      <c r="AK11" s="84">
        <f t="shared" si="5"/>
        <v>0</v>
      </c>
    </row>
    <row r="12">
      <c r="A12" s="23" t="s">
        <v>49</v>
      </c>
      <c r="B12" s="24">
        <f t="shared" ref="B12:AF12" si="6">COUNTIF(B6:B11,"D")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0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1</v>
      </c>
      <c r="AB12" s="24">
        <f t="shared" si="6"/>
        <v>1</v>
      </c>
      <c r="AC12" s="24">
        <f t="shared" si="6"/>
        <v>1</v>
      </c>
      <c r="AD12" s="24">
        <f t="shared" si="6"/>
        <v>1</v>
      </c>
      <c r="AE12" s="24">
        <f t="shared" si="6"/>
        <v>1</v>
      </c>
      <c r="AF12" s="24">
        <f t="shared" si="6"/>
        <v>1</v>
      </c>
      <c r="AJ12" s="49"/>
    </row>
    <row r="13">
      <c r="A13" s="26" t="s">
        <v>50</v>
      </c>
      <c r="B13" s="27">
        <f t="shared" ref="B13:AF13" si="7">COUNTIF(B6:B11,"N")</f>
        <v>1</v>
      </c>
      <c r="C13" s="27">
        <f t="shared" si="7"/>
        <v>1</v>
      </c>
      <c r="D13" s="27">
        <f t="shared" si="7"/>
        <v>1</v>
      </c>
      <c r="E13" s="27">
        <f t="shared" si="7"/>
        <v>1</v>
      </c>
      <c r="F13" s="27">
        <f t="shared" si="7"/>
        <v>1</v>
      </c>
      <c r="G13" s="27">
        <f t="shared" si="7"/>
        <v>1</v>
      </c>
      <c r="H13" s="27">
        <f t="shared" si="7"/>
        <v>1</v>
      </c>
      <c r="I13" s="27">
        <f t="shared" si="7"/>
        <v>1</v>
      </c>
      <c r="J13" s="27">
        <f t="shared" si="7"/>
        <v>1</v>
      </c>
      <c r="K13" s="27">
        <f t="shared" si="7"/>
        <v>1</v>
      </c>
      <c r="L13" s="27">
        <f t="shared" si="7"/>
        <v>1</v>
      </c>
      <c r="M13" s="27">
        <f t="shared" si="7"/>
        <v>1</v>
      </c>
      <c r="N13" s="27">
        <f t="shared" si="7"/>
        <v>1</v>
      </c>
      <c r="O13" s="27">
        <f t="shared" si="7"/>
        <v>1</v>
      </c>
      <c r="P13" s="27">
        <f t="shared" si="7"/>
        <v>1</v>
      </c>
      <c r="Q13" s="27">
        <f t="shared" si="7"/>
        <v>1</v>
      </c>
      <c r="R13" s="27">
        <f t="shared" si="7"/>
        <v>1</v>
      </c>
      <c r="S13" s="27">
        <f t="shared" si="7"/>
        <v>1</v>
      </c>
      <c r="T13" s="27">
        <f t="shared" si="7"/>
        <v>1</v>
      </c>
      <c r="U13" s="27">
        <f t="shared" si="7"/>
        <v>1</v>
      </c>
      <c r="V13" s="27">
        <f t="shared" si="7"/>
        <v>1</v>
      </c>
      <c r="W13" s="27">
        <f t="shared" si="7"/>
        <v>1</v>
      </c>
      <c r="X13" s="27">
        <f t="shared" si="7"/>
        <v>1</v>
      </c>
      <c r="Y13" s="27">
        <f t="shared" si="7"/>
        <v>1</v>
      </c>
      <c r="Z13" s="27">
        <f t="shared" si="7"/>
        <v>1</v>
      </c>
      <c r="AA13" s="27">
        <f t="shared" si="7"/>
        <v>1</v>
      </c>
      <c r="AB13" s="27">
        <f t="shared" si="7"/>
        <v>1</v>
      </c>
      <c r="AC13" s="27">
        <f t="shared" si="7"/>
        <v>1</v>
      </c>
      <c r="AD13" s="27">
        <f t="shared" si="7"/>
        <v>1</v>
      </c>
      <c r="AE13" s="27">
        <f t="shared" si="7"/>
        <v>1</v>
      </c>
      <c r="AF13" s="27">
        <f t="shared" si="7"/>
        <v>1</v>
      </c>
    </row>
    <row r="14">
      <c r="B14" s="85" t="s">
        <v>120</v>
      </c>
      <c r="AG14" s="44" t="s">
        <v>38</v>
      </c>
      <c r="AH14" s="45" t="s">
        <v>39</v>
      </c>
      <c r="AI14" s="46" t="s">
        <v>40</v>
      </c>
      <c r="AJ14" s="48" t="s">
        <v>42</v>
      </c>
      <c r="AK14" s="54" t="s">
        <v>76</v>
      </c>
    </row>
    <row r="15">
      <c r="A15" s="13" t="s">
        <v>104</v>
      </c>
      <c r="B15" s="69" t="s">
        <v>44</v>
      </c>
      <c r="C15" s="69" t="s">
        <v>44</v>
      </c>
      <c r="D15" s="69" t="s">
        <v>40</v>
      </c>
      <c r="E15" s="69" t="s">
        <v>40</v>
      </c>
      <c r="F15" s="69" t="s">
        <v>38</v>
      </c>
      <c r="G15" s="69" t="s">
        <v>38</v>
      </c>
      <c r="H15" s="69" t="s">
        <v>38</v>
      </c>
      <c r="I15" s="69" t="s">
        <v>38</v>
      </c>
      <c r="J15" s="69" t="s">
        <v>38</v>
      </c>
      <c r="K15" s="69" t="s">
        <v>40</v>
      </c>
      <c r="L15" s="69" t="s">
        <v>40</v>
      </c>
      <c r="M15" s="69" t="s">
        <v>38</v>
      </c>
      <c r="N15" s="69" t="s">
        <v>38</v>
      </c>
      <c r="O15" s="69" t="s">
        <v>38</v>
      </c>
      <c r="P15" s="69" t="s">
        <v>38</v>
      </c>
      <c r="Q15" s="69" t="s">
        <v>38</v>
      </c>
      <c r="R15" s="69" t="s">
        <v>40</v>
      </c>
      <c r="S15" s="69" t="s">
        <v>40</v>
      </c>
      <c r="T15" s="69" t="s">
        <v>39</v>
      </c>
      <c r="U15" s="69" t="s">
        <v>39</v>
      </c>
      <c r="V15" s="69" t="s">
        <v>39</v>
      </c>
      <c r="W15" s="69" t="s">
        <v>39</v>
      </c>
      <c r="X15" s="69" t="s">
        <v>39</v>
      </c>
      <c r="Y15" s="69" t="s">
        <v>40</v>
      </c>
      <c r="Z15" s="69" t="s">
        <v>40</v>
      </c>
      <c r="AA15" s="69" t="s">
        <v>39</v>
      </c>
      <c r="AB15" s="69" t="s">
        <v>39</v>
      </c>
      <c r="AC15" s="69" t="s">
        <v>39</v>
      </c>
      <c r="AD15" s="69" t="s">
        <v>39</v>
      </c>
      <c r="AE15" s="69" t="s">
        <v>39</v>
      </c>
      <c r="AF15" s="69" t="s">
        <v>40</v>
      </c>
      <c r="AG15" s="49">
        <f t="shared" ref="AG15:AG17" si="8">COUNTIF(B15:AF15,"D")</f>
        <v>10</v>
      </c>
      <c r="AH15" s="49">
        <f t="shared" ref="AH15:AH17" si="9">COUNTIF(B15:AF15,"N")</f>
        <v>10</v>
      </c>
      <c r="AI15" s="49">
        <f t="shared" ref="AI15:AI17" si="10">COUNTIF(B15:AF15,"X")</f>
        <v>9</v>
      </c>
      <c r="AJ15" s="49">
        <f t="shared" ref="AJ15:AJ17" si="11">AG15+AH15</f>
        <v>20</v>
      </c>
      <c r="AK15" s="84">
        <f t="shared" ref="AK15:AK17" si="12">(AJ15*10)/4</f>
        <v>50</v>
      </c>
    </row>
    <row r="16">
      <c r="A16" s="13" t="s">
        <v>121</v>
      </c>
      <c r="B16" s="69" t="s">
        <v>38</v>
      </c>
      <c r="C16" s="69" t="s">
        <v>38</v>
      </c>
      <c r="D16" s="69" t="s">
        <v>40</v>
      </c>
      <c r="E16" s="69" t="s">
        <v>40</v>
      </c>
      <c r="F16" s="69" t="s">
        <v>39</v>
      </c>
      <c r="G16" s="69" t="s">
        <v>39</v>
      </c>
      <c r="H16" s="69" t="s">
        <v>39</v>
      </c>
      <c r="I16" s="69" t="s">
        <v>39</v>
      </c>
      <c r="J16" s="69" t="s">
        <v>39</v>
      </c>
      <c r="K16" s="69" t="s">
        <v>40</v>
      </c>
      <c r="L16" s="69" t="s">
        <v>40</v>
      </c>
      <c r="M16" s="69" t="s">
        <v>39</v>
      </c>
      <c r="N16" s="69" t="s">
        <v>39</v>
      </c>
      <c r="O16" s="69" t="s">
        <v>39</v>
      </c>
      <c r="P16" s="69" t="s">
        <v>39</v>
      </c>
      <c r="Q16" s="69" t="s">
        <v>39</v>
      </c>
      <c r="R16" s="69" t="s">
        <v>40</v>
      </c>
      <c r="S16" s="69" t="s">
        <v>40</v>
      </c>
      <c r="T16" s="69" t="s">
        <v>38</v>
      </c>
      <c r="U16" s="69" t="s">
        <v>38</v>
      </c>
      <c r="V16" s="69" t="s">
        <v>38</v>
      </c>
      <c r="W16" s="69" t="s">
        <v>38</v>
      </c>
      <c r="X16" s="69" t="s">
        <v>38</v>
      </c>
      <c r="Y16" s="69" t="s">
        <v>40</v>
      </c>
      <c r="Z16" s="69" t="s">
        <v>40</v>
      </c>
      <c r="AA16" s="69" t="s">
        <v>38</v>
      </c>
      <c r="AB16" s="69" t="s">
        <v>38</v>
      </c>
      <c r="AC16" s="69" t="s">
        <v>38</v>
      </c>
      <c r="AD16" s="69" t="s">
        <v>38</v>
      </c>
      <c r="AE16" s="69" t="s">
        <v>38</v>
      </c>
      <c r="AF16" s="69" t="s">
        <v>40</v>
      </c>
      <c r="AG16" s="49">
        <f t="shared" si="8"/>
        <v>12</v>
      </c>
      <c r="AH16" s="49">
        <f t="shared" si="9"/>
        <v>10</v>
      </c>
      <c r="AI16" s="49">
        <f t="shared" si="10"/>
        <v>9</v>
      </c>
      <c r="AJ16" s="49">
        <f t="shared" si="11"/>
        <v>22</v>
      </c>
      <c r="AK16" s="84">
        <f t="shared" si="12"/>
        <v>55</v>
      </c>
    </row>
    <row r="17">
      <c r="A17" s="13" t="s">
        <v>141</v>
      </c>
      <c r="B17" s="69" t="s">
        <v>39</v>
      </c>
      <c r="C17" s="69" t="s">
        <v>39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49">
        <f t="shared" si="8"/>
        <v>0</v>
      </c>
      <c r="AH17" s="49">
        <f t="shared" si="9"/>
        <v>2</v>
      </c>
      <c r="AI17" s="49">
        <f t="shared" si="10"/>
        <v>0</v>
      </c>
      <c r="AJ17" s="49">
        <f t="shared" si="11"/>
        <v>2</v>
      </c>
      <c r="AK17" s="84">
        <f t="shared" si="12"/>
        <v>5</v>
      </c>
    </row>
    <row r="18">
      <c r="A18" s="23" t="s">
        <v>49</v>
      </c>
      <c r="B18" s="24">
        <f t="shared" ref="B18:AF18" si="13">COUNTIF(B15:B17,"D")</f>
        <v>1</v>
      </c>
      <c r="C18" s="24">
        <f t="shared" si="13"/>
        <v>1</v>
      </c>
      <c r="D18" s="24">
        <f t="shared" si="13"/>
        <v>0</v>
      </c>
      <c r="E18" s="24">
        <f t="shared" si="13"/>
        <v>0</v>
      </c>
      <c r="F18" s="24">
        <f t="shared" si="13"/>
        <v>1</v>
      </c>
      <c r="G18" s="24">
        <f t="shared" si="13"/>
        <v>1</v>
      </c>
      <c r="H18" s="24">
        <f t="shared" si="13"/>
        <v>1</v>
      </c>
      <c r="I18" s="24">
        <f t="shared" si="13"/>
        <v>1</v>
      </c>
      <c r="J18" s="24">
        <f t="shared" si="13"/>
        <v>1</v>
      </c>
      <c r="K18" s="24">
        <f t="shared" si="13"/>
        <v>0</v>
      </c>
      <c r="L18" s="24">
        <f t="shared" si="13"/>
        <v>0</v>
      </c>
      <c r="M18" s="24">
        <f t="shared" si="13"/>
        <v>1</v>
      </c>
      <c r="N18" s="24">
        <f t="shared" si="13"/>
        <v>1</v>
      </c>
      <c r="O18" s="24">
        <f t="shared" si="13"/>
        <v>1</v>
      </c>
      <c r="P18" s="24">
        <f t="shared" si="13"/>
        <v>1</v>
      </c>
      <c r="Q18" s="24">
        <f t="shared" si="13"/>
        <v>1</v>
      </c>
      <c r="R18" s="24">
        <f t="shared" si="13"/>
        <v>0</v>
      </c>
      <c r="S18" s="24">
        <f t="shared" si="13"/>
        <v>0</v>
      </c>
      <c r="T18" s="24">
        <f t="shared" si="13"/>
        <v>1</v>
      </c>
      <c r="U18" s="24">
        <f t="shared" si="13"/>
        <v>1</v>
      </c>
      <c r="V18" s="24">
        <f t="shared" si="13"/>
        <v>1</v>
      </c>
      <c r="W18" s="24">
        <f t="shared" si="13"/>
        <v>1</v>
      </c>
      <c r="X18" s="24">
        <f t="shared" si="13"/>
        <v>1</v>
      </c>
      <c r="Y18" s="24">
        <f t="shared" si="13"/>
        <v>0</v>
      </c>
      <c r="Z18" s="24">
        <f t="shared" si="13"/>
        <v>0</v>
      </c>
      <c r="AA18" s="24">
        <f t="shared" si="13"/>
        <v>1</v>
      </c>
      <c r="AB18" s="24">
        <f t="shared" si="13"/>
        <v>1</v>
      </c>
      <c r="AC18" s="24">
        <f t="shared" si="13"/>
        <v>1</v>
      </c>
      <c r="AD18" s="24">
        <f t="shared" si="13"/>
        <v>1</v>
      </c>
      <c r="AE18" s="24">
        <f t="shared" si="13"/>
        <v>1</v>
      </c>
      <c r="AF18" s="24">
        <f t="shared" si="13"/>
        <v>0</v>
      </c>
      <c r="AG18" s="53"/>
      <c r="AH18" s="53"/>
      <c r="AI18" s="53"/>
      <c r="AJ18" s="53"/>
      <c r="AK18" s="53"/>
    </row>
    <row r="19">
      <c r="A19" s="26" t="s">
        <v>50</v>
      </c>
      <c r="B19" s="27">
        <f t="shared" ref="B19:AF19" si="14">COUNTIF(B15:B17,"N")</f>
        <v>1</v>
      </c>
      <c r="C19" s="27">
        <f t="shared" si="14"/>
        <v>1</v>
      </c>
      <c r="D19" s="27">
        <f t="shared" si="14"/>
        <v>0</v>
      </c>
      <c r="E19" s="27">
        <f t="shared" si="14"/>
        <v>0</v>
      </c>
      <c r="F19" s="27">
        <f t="shared" si="14"/>
        <v>1</v>
      </c>
      <c r="G19" s="27">
        <f t="shared" si="14"/>
        <v>1</v>
      </c>
      <c r="H19" s="27">
        <f t="shared" si="14"/>
        <v>1</v>
      </c>
      <c r="I19" s="27">
        <f t="shared" si="14"/>
        <v>1</v>
      </c>
      <c r="J19" s="27">
        <f t="shared" si="14"/>
        <v>1</v>
      </c>
      <c r="K19" s="27">
        <f t="shared" si="14"/>
        <v>0</v>
      </c>
      <c r="L19" s="27">
        <f t="shared" si="14"/>
        <v>0</v>
      </c>
      <c r="M19" s="27">
        <f t="shared" si="14"/>
        <v>1</v>
      </c>
      <c r="N19" s="27">
        <f t="shared" si="14"/>
        <v>1</v>
      </c>
      <c r="O19" s="27">
        <f t="shared" si="14"/>
        <v>1</v>
      </c>
      <c r="P19" s="27">
        <f t="shared" si="14"/>
        <v>1</v>
      </c>
      <c r="Q19" s="27">
        <f t="shared" si="14"/>
        <v>1</v>
      </c>
      <c r="R19" s="27">
        <f t="shared" si="14"/>
        <v>0</v>
      </c>
      <c r="S19" s="27">
        <f t="shared" si="14"/>
        <v>0</v>
      </c>
      <c r="T19" s="27">
        <f t="shared" si="14"/>
        <v>1</v>
      </c>
      <c r="U19" s="27">
        <f t="shared" si="14"/>
        <v>1</v>
      </c>
      <c r="V19" s="27">
        <f t="shared" si="14"/>
        <v>1</v>
      </c>
      <c r="W19" s="27">
        <f t="shared" si="14"/>
        <v>1</v>
      </c>
      <c r="X19" s="27">
        <f t="shared" si="14"/>
        <v>1</v>
      </c>
      <c r="Y19" s="27">
        <f t="shared" si="14"/>
        <v>0</v>
      </c>
      <c r="Z19" s="27">
        <f t="shared" si="14"/>
        <v>0</v>
      </c>
      <c r="AA19" s="27">
        <f t="shared" si="14"/>
        <v>1</v>
      </c>
      <c r="AB19" s="27">
        <f t="shared" si="14"/>
        <v>1</v>
      </c>
      <c r="AC19" s="27">
        <f t="shared" si="14"/>
        <v>1</v>
      </c>
      <c r="AD19" s="27">
        <f t="shared" si="14"/>
        <v>1</v>
      </c>
      <c r="AE19" s="27">
        <f t="shared" si="14"/>
        <v>1</v>
      </c>
      <c r="AF19" s="27">
        <f t="shared" si="14"/>
        <v>0</v>
      </c>
      <c r="AG19" s="22"/>
      <c r="AH19" s="22"/>
      <c r="AI19" s="22"/>
      <c r="AJ19" s="22"/>
      <c r="AK19" s="22"/>
    </row>
    <row r="20">
      <c r="I20" s="28"/>
      <c r="J20" s="11"/>
      <c r="K20" s="68"/>
      <c r="L20" s="68"/>
      <c r="M20" s="68"/>
      <c r="N20" s="68"/>
      <c r="O20" s="68"/>
      <c r="P20" s="68"/>
      <c r="Q20" s="68"/>
      <c r="R20" s="11"/>
      <c r="S20" s="11"/>
      <c r="T20" s="11"/>
      <c r="U20" s="11"/>
      <c r="V20" s="43" t="s">
        <v>0</v>
      </c>
      <c r="W20" s="11"/>
      <c r="AG20" s="22"/>
      <c r="AH20" s="22"/>
      <c r="AI20" s="22"/>
      <c r="AJ20" s="22"/>
      <c r="AK20" s="22"/>
    </row>
    <row r="22">
      <c r="A22" s="6"/>
      <c r="B22" s="11"/>
      <c r="C22" s="29" t="s">
        <v>51</v>
      </c>
      <c r="D22" s="30"/>
      <c r="E22" s="30"/>
      <c r="F22" s="31"/>
      <c r="H22" s="13"/>
      <c r="I22" s="71"/>
      <c r="J22" s="71"/>
      <c r="K22" s="71"/>
      <c r="L22" s="71"/>
      <c r="M22" s="71"/>
      <c r="N22" s="71"/>
      <c r="O22" s="71"/>
      <c r="P22" s="19"/>
      <c r="Q22" s="70"/>
      <c r="R22" s="70"/>
      <c r="S22" s="70"/>
      <c r="T22" s="71"/>
      <c r="U22" s="71"/>
      <c r="V22" s="71"/>
      <c r="W22" s="71"/>
      <c r="X22" s="71"/>
      <c r="Y22" s="71"/>
      <c r="Z22" s="71"/>
    </row>
    <row r="23">
      <c r="A23" s="6"/>
      <c r="B23" s="87"/>
      <c r="C23" s="33" t="s">
        <v>38</v>
      </c>
      <c r="D23" s="1" t="s">
        <v>52</v>
      </c>
      <c r="F23" s="34"/>
      <c r="I23" s="70"/>
      <c r="J23" s="70"/>
      <c r="K23" s="70"/>
      <c r="L23" s="70"/>
      <c r="M23" s="70"/>
      <c r="N23" s="70"/>
      <c r="O23" s="70"/>
      <c r="P23" s="13"/>
      <c r="Q23" s="60"/>
      <c r="R23" s="61"/>
      <c r="S23" s="61"/>
      <c r="T23" s="70"/>
      <c r="U23" s="70"/>
      <c r="V23" s="70"/>
      <c r="W23" s="70"/>
      <c r="X23" s="70"/>
      <c r="Y23" s="70"/>
      <c r="Z23" s="70"/>
      <c r="AD23" s="86"/>
      <c r="AE23" s="86"/>
      <c r="AF23" s="86"/>
      <c r="AG23" s="94"/>
      <c r="AH23" s="94"/>
      <c r="AI23" s="94"/>
      <c r="AJ23" s="94"/>
      <c r="AK23" s="94"/>
    </row>
    <row r="24">
      <c r="A24" s="12"/>
      <c r="B24" s="87"/>
      <c r="C24" s="33" t="s">
        <v>39</v>
      </c>
      <c r="D24" s="1" t="s">
        <v>53</v>
      </c>
      <c r="F24" s="34"/>
      <c r="H24" s="19"/>
      <c r="I24" s="13"/>
      <c r="J24" s="60"/>
      <c r="K24" s="61"/>
      <c r="L24" s="61"/>
      <c r="M24" s="61"/>
      <c r="N24" s="61"/>
      <c r="O24" s="61"/>
      <c r="P24" s="13"/>
      <c r="Q24" s="70"/>
      <c r="R24" s="70"/>
      <c r="S24" s="70"/>
      <c r="T24" s="60"/>
      <c r="U24" s="60"/>
      <c r="V24" s="60"/>
      <c r="W24" s="60"/>
      <c r="X24" s="60"/>
      <c r="Y24" s="61"/>
      <c r="Z24" s="61"/>
      <c r="AD24" s="87"/>
      <c r="AE24" s="87"/>
      <c r="AF24" s="87"/>
      <c r="AG24" s="87"/>
      <c r="AH24" s="87"/>
      <c r="AI24" s="87"/>
      <c r="AJ24" s="87"/>
      <c r="AK24" s="87"/>
    </row>
    <row r="25">
      <c r="B25" s="71"/>
      <c r="C25" s="33" t="s">
        <v>41</v>
      </c>
      <c r="D25" s="1" t="s">
        <v>54</v>
      </c>
      <c r="F25" s="34"/>
      <c r="H25" s="13"/>
      <c r="I25" s="70"/>
      <c r="J25" s="70"/>
      <c r="K25" s="70"/>
      <c r="L25" s="70"/>
      <c r="M25" s="70"/>
      <c r="N25" s="70"/>
      <c r="O25" s="70"/>
      <c r="P25" s="13"/>
      <c r="Q25" s="69"/>
      <c r="R25" s="69"/>
      <c r="S25" s="69"/>
      <c r="T25" s="70"/>
      <c r="U25" s="70"/>
      <c r="V25" s="88"/>
      <c r="W25" s="88"/>
      <c r="X25" s="70"/>
      <c r="Y25" s="70"/>
      <c r="Z25" s="70"/>
      <c r="AD25" s="71"/>
      <c r="AE25" s="71"/>
      <c r="AF25" s="71"/>
      <c r="AG25" s="95"/>
      <c r="AH25" s="95"/>
      <c r="AI25" s="95"/>
      <c r="AJ25" s="95"/>
      <c r="AK25" s="96"/>
    </row>
    <row r="26">
      <c r="A26" s="97"/>
      <c r="B26" s="69"/>
      <c r="C26" s="33" t="s">
        <v>55</v>
      </c>
      <c r="D26" s="1" t="s">
        <v>56</v>
      </c>
      <c r="F26" s="34"/>
      <c r="G26" s="72"/>
      <c r="H26" s="13"/>
      <c r="I26" s="70"/>
      <c r="J26" s="70"/>
      <c r="K26" s="70"/>
      <c r="L26" s="70"/>
      <c r="M26" s="70"/>
      <c r="N26" s="70"/>
      <c r="O26" s="70"/>
      <c r="P26" s="13"/>
      <c r="R26" s="20"/>
      <c r="S26" s="20"/>
      <c r="T26" s="20"/>
      <c r="U26" s="20"/>
      <c r="V26" s="13"/>
      <c r="AD26" s="71"/>
      <c r="AE26" s="71"/>
      <c r="AF26" s="71"/>
      <c r="AG26" s="98"/>
      <c r="AH26" s="98"/>
      <c r="AI26" s="98"/>
      <c r="AJ26" s="98"/>
      <c r="AK26" s="99"/>
    </row>
    <row r="27">
      <c r="A27" s="97"/>
      <c r="B27" s="69"/>
      <c r="C27" s="33" t="s">
        <v>40</v>
      </c>
      <c r="D27" s="1" t="s">
        <v>57</v>
      </c>
      <c r="F27" s="34"/>
      <c r="G27" s="20"/>
      <c r="H27" s="13"/>
      <c r="I27" s="25"/>
      <c r="J27" s="25"/>
      <c r="K27" s="25"/>
      <c r="L27" s="25"/>
      <c r="M27" s="25"/>
      <c r="N27" s="25"/>
      <c r="O27" s="25"/>
      <c r="R27" s="20"/>
      <c r="S27" s="20"/>
      <c r="T27" s="20"/>
      <c r="U27" s="20"/>
      <c r="V27" s="89"/>
      <c r="AD27" s="70"/>
      <c r="AE27" s="70"/>
      <c r="AF27" s="70"/>
      <c r="AG27" s="98"/>
      <c r="AH27" s="98"/>
      <c r="AI27" s="98"/>
      <c r="AJ27" s="98"/>
      <c r="AK27" s="99"/>
    </row>
    <row r="28">
      <c r="A28" s="87"/>
      <c r="B28" s="60"/>
      <c r="C28" s="33" t="s">
        <v>58</v>
      </c>
      <c r="D28" s="1" t="s">
        <v>59</v>
      </c>
      <c r="F28" s="34"/>
      <c r="G28" s="20"/>
      <c r="H28" s="55"/>
      <c r="I28" s="25"/>
      <c r="J28" s="25"/>
      <c r="K28" s="25"/>
      <c r="L28" s="25"/>
      <c r="M28" s="25"/>
      <c r="N28" s="25"/>
      <c r="O28" s="25"/>
      <c r="R28" s="20"/>
      <c r="S28" s="20"/>
      <c r="T28" s="20"/>
      <c r="U28" s="20"/>
      <c r="AD28" s="61"/>
      <c r="AE28" s="61"/>
      <c r="AF28" s="61"/>
      <c r="AG28" s="98"/>
      <c r="AH28" s="98"/>
      <c r="AI28" s="98"/>
      <c r="AJ28" s="98"/>
      <c r="AK28" s="99"/>
    </row>
    <row r="29">
      <c r="A29" s="87"/>
      <c r="B29" s="69"/>
      <c r="C29" s="33" t="s">
        <v>60</v>
      </c>
      <c r="D29" s="1" t="s">
        <v>61</v>
      </c>
      <c r="F29" s="34"/>
      <c r="I29" s="25"/>
      <c r="J29" s="25"/>
      <c r="K29" s="25"/>
      <c r="L29" s="25"/>
      <c r="M29" s="20"/>
      <c r="N29" s="20"/>
      <c r="O29" s="20"/>
      <c r="AD29" s="70"/>
      <c r="AE29" s="70"/>
      <c r="AF29" s="70"/>
      <c r="AG29" s="98"/>
      <c r="AH29" s="98"/>
      <c r="AI29" s="98"/>
      <c r="AJ29" s="98"/>
      <c r="AK29" s="99"/>
    </row>
    <row r="30">
      <c r="A30" s="71"/>
      <c r="B30" s="25"/>
      <c r="C30" s="33" t="s">
        <v>44</v>
      </c>
      <c r="D30" s="1" t="s">
        <v>62</v>
      </c>
      <c r="F30" s="34"/>
      <c r="AD30" s="25"/>
      <c r="AE30" s="25"/>
      <c r="AF30" s="25"/>
      <c r="AG30" s="68"/>
      <c r="AH30" s="68"/>
      <c r="AI30" s="68"/>
      <c r="AJ30" s="98"/>
      <c r="AK30" s="68"/>
    </row>
    <row r="31">
      <c r="A31" s="71"/>
      <c r="B31" s="25"/>
      <c r="C31" s="33" t="s">
        <v>63</v>
      </c>
      <c r="D31" s="1" t="s">
        <v>64</v>
      </c>
      <c r="F31" s="34"/>
      <c r="AD31" s="25"/>
      <c r="AE31" s="25"/>
      <c r="AF31" s="25"/>
      <c r="AG31" s="68"/>
      <c r="AH31" s="68"/>
      <c r="AI31" s="68"/>
      <c r="AJ31" s="68"/>
      <c r="AK31" s="68"/>
    </row>
    <row r="32">
      <c r="C32" s="33" t="s">
        <v>65</v>
      </c>
      <c r="D32" s="1" t="s">
        <v>66</v>
      </c>
      <c r="F32" s="34"/>
    </row>
    <row r="33">
      <c r="C33" s="33" t="s">
        <v>46</v>
      </c>
      <c r="D33" s="1" t="s">
        <v>67</v>
      </c>
      <c r="F33" s="34"/>
    </row>
    <row r="34">
      <c r="C34" s="35" t="s">
        <v>68</v>
      </c>
      <c r="D34" s="36" t="s">
        <v>69</v>
      </c>
      <c r="E34" s="8"/>
      <c r="F34" s="37"/>
      <c r="AG34" s="22"/>
      <c r="AH34" s="22"/>
      <c r="AI34" s="22"/>
      <c r="AJ34" s="22"/>
      <c r="AK34" s="22"/>
    </row>
    <row r="35">
      <c r="AG35" s="22"/>
      <c r="AH35" s="22"/>
      <c r="AI35" s="22"/>
      <c r="AJ35" s="22"/>
      <c r="AK35" s="22"/>
    </row>
    <row r="49">
      <c r="E49" s="1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E52" s="69"/>
      <c r="F52" s="69"/>
      <c r="G52" s="69"/>
      <c r="H52" s="69"/>
      <c r="I52" s="69"/>
      <c r="J52" s="69"/>
      <c r="K52" s="69"/>
      <c r="L52" s="60"/>
      <c r="M52" s="60"/>
      <c r="N52" s="60"/>
      <c r="O52" s="60"/>
      <c r="P52" s="61"/>
      <c r="Q52" s="61"/>
      <c r="R52" s="61"/>
      <c r="S52" s="70"/>
      <c r="T52" s="70"/>
      <c r="U52" s="70"/>
    </row>
    <row r="53"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0"/>
      <c r="T53" s="60"/>
      <c r="U53" s="60"/>
    </row>
    <row r="54">
      <c r="E54" s="60"/>
      <c r="F54" s="60"/>
      <c r="G54" s="60"/>
      <c r="H54" s="60"/>
      <c r="I54" s="60"/>
      <c r="J54" s="61"/>
      <c r="K54" s="61"/>
      <c r="L54" s="70"/>
      <c r="M54" s="70"/>
      <c r="N54" s="70"/>
      <c r="O54" s="70"/>
      <c r="P54" s="70"/>
      <c r="Q54" s="70"/>
      <c r="R54" s="70"/>
      <c r="S54" s="70"/>
      <c r="T54" s="70"/>
      <c r="U54" s="70"/>
    </row>
    <row r="5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</sheetData>
  <mergeCells count="16">
    <mergeCell ref="B1:AC3"/>
    <mergeCell ref="B14:AF14"/>
    <mergeCell ref="C22:F22"/>
    <mergeCell ref="D23:F23"/>
    <mergeCell ref="D24:F24"/>
    <mergeCell ref="D25:F25"/>
    <mergeCell ref="D26:F26"/>
    <mergeCell ref="D33:F33"/>
    <mergeCell ref="D34:F34"/>
    <mergeCell ref="D27:F27"/>
    <mergeCell ref="V27:AC29"/>
    <mergeCell ref="D28:F28"/>
    <mergeCell ref="D29:F29"/>
    <mergeCell ref="D30:F30"/>
    <mergeCell ref="D31:F31"/>
    <mergeCell ref="D32:F32"/>
  </mergeCells>
  <conditionalFormatting sqref="B9:H9 R26:U26 B28 E54:K54">
    <cfRule type="cellIs" dxfId="0" priority="1" operator="equal">
      <formula>"X"</formula>
    </cfRule>
  </conditionalFormatting>
  <conditionalFormatting sqref="B9:H9 R26:U26 B28 E54:K54">
    <cfRule type="cellIs" dxfId="1" priority="2" operator="equal">
      <formula>"D"</formula>
    </cfRule>
  </conditionalFormatting>
  <conditionalFormatting sqref="B9:H9 R26:U26 B28 E54:K54">
    <cfRule type="cellIs" dxfId="2" priority="3" operator="equal">
      <formula>"N"</formula>
    </cfRule>
  </conditionalFormatting>
  <conditionalFormatting sqref="B9:H9 R26:U26 B28 E54:K54">
    <cfRule type="cellIs" dxfId="3" priority="4" operator="equal">
      <formula>"OB"</formula>
    </cfRule>
  </conditionalFormatting>
  <conditionalFormatting sqref="B9:H9 R26:U26 B28 E54:K54">
    <cfRule type="cellIs" dxfId="0" priority="5" operator="equal">
      <formula>"C"</formula>
    </cfRule>
  </conditionalFormatting>
  <conditionalFormatting sqref="B9:H9 R26:U26 B28 E54:K54">
    <cfRule type="cellIs" dxfId="0" priority="6" operator="equal">
      <formula>"AL"</formula>
    </cfRule>
  </conditionalFormatting>
  <conditionalFormatting sqref="B9:H9 R26:U26 B28 E54:K54">
    <cfRule type="cellIs" dxfId="4" priority="7" operator="equal">
      <formula>"UP"</formula>
    </cfRule>
  </conditionalFormatting>
  <conditionalFormatting sqref="B9:H9 R26:U26 B28 E54:K54">
    <cfRule type="cellIs" dxfId="0" priority="8" operator="equal">
      <formula>"S"</formula>
    </cfRule>
  </conditionalFormatting>
  <conditionalFormatting sqref="B9:H9 R26:U26 B28 E54:K54">
    <cfRule type="cellIs" dxfId="5" priority="9" operator="equal">
      <formula>"OC"</formula>
    </cfRule>
  </conditionalFormatting>
  <conditionalFormatting sqref="B9:H9 R26:U26 B28 E54:K54">
    <cfRule type="cellIs" dxfId="6" priority="10" operator="equal">
      <formula>"SPV"</formula>
    </cfRule>
  </conditionalFormatting>
  <conditionalFormatting sqref="B9:H9 R26:U26 B28 E54:K54">
    <cfRule type="cellIs" dxfId="7" priority="11" operator="equal">
      <formula>"INT"</formula>
    </cfRule>
  </conditionalFormatting>
  <conditionalFormatting sqref="B9:H9 R26:U26 B28 E54:K54">
    <cfRule type="cellIs" dxfId="8" priority="12" operator="equal">
      <formula>"T"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3" operator="equal">
      <formula>"X"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1" priority="14" operator="equal">
      <formula>"D"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2" priority="15" operator="equal">
      <formula>"N"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3" priority="16" operator="equal">
      <formula>"OB"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7" operator="equal">
      <formula>"C"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8" operator="equal">
      <formula>"AL"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4" priority="19" operator="equal">
      <formula>"UP"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20" operator="equal">
      <formula>"S"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5" priority="21" operator="equal">
      <formula>"OC"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6" priority="22" operator="equal">
      <formula>"SPV"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7" priority="23" operator="equal">
      <formula>"INT"</formula>
    </cfRule>
  </conditionalFormatting>
  <conditionalFormatting sqref="B6:AF11 A10 B15:AF17 I22:I23 J22:O29 Q22:Z29 B23:G29 H23:H26 P23:P29 AA23:AF29 I25:I29 H28:H29 K34:P40 Q34:Q38 S34:AB37 T39:W40 J40 E51:U55">
    <cfRule type="cellIs" dxfId="8" priority="24" operator="equal">
      <formula>"T"</formula>
    </cfRule>
  </conditionalFormatting>
  <conditionalFormatting sqref="C33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91" t="s">
        <v>142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92"/>
      <c r="AG3" s="4"/>
      <c r="AH3" s="4"/>
      <c r="AI3" s="4"/>
      <c r="AJ3" s="4"/>
      <c r="AK3" s="4"/>
    </row>
    <row r="4">
      <c r="A4" s="6"/>
      <c r="B4" s="10" t="s">
        <v>5</v>
      </c>
      <c r="C4" s="10" t="s">
        <v>6</v>
      </c>
      <c r="D4" s="10" t="s">
        <v>7</v>
      </c>
      <c r="E4" s="10" t="s">
        <v>8</v>
      </c>
      <c r="F4" s="10" t="s">
        <v>2</v>
      </c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  <c r="M4" s="10" t="s">
        <v>2</v>
      </c>
      <c r="N4" s="10" t="s">
        <v>3</v>
      </c>
      <c r="O4" s="10" t="s">
        <v>4</v>
      </c>
      <c r="P4" s="10" t="s">
        <v>5</v>
      </c>
      <c r="Q4" s="10" t="s">
        <v>6</v>
      </c>
      <c r="R4" s="10" t="s">
        <v>7</v>
      </c>
      <c r="S4" s="10" t="s">
        <v>8</v>
      </c>
      <c r="T4" s="10" t="s">
        <v>2</v>
      </c>
      <c r="U4" s="10" t="s">
        <v>3</v>
      </c>
      <c r="V4" s="10" t="s">
        <v>4</v>
      </c>
      <c r="W4" s="10" t="s">
        <v>5</v>
      </c>
      <c r="X4" s="10" t="s">
        <v>6</v>
      </c>
      <c r="Y4" s="10" t="s">
        <v>7</v>
      </c>
      <c r="Z4" s="10" t="s">
        <v>8</v>
      </c>
      <c r="AA4" s="10" t="s">
        <v>2</v>
      </c>
      <c r="AB4" s="13" t="s">
        <v>3</v>
      </c>
      <c r="AC4" s="10" t="s">
        <v>4</v>
      </c>
      <c r="AD4" s="10" t="s">
        <v>5</v>
      </c>
      <c r="AE4" s="10" t="s">
        <v>6</v>
      </c>
      <c r="AF4" s="10" t="s">
        <v>7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44" t="s">
        <v>38</v>
      </c>
      <c r="AH5" s="45" t="s">
        <v>39</v>
      </c>
      <c r="AI5" s="46" t="s">
        <v>40</v>
      </c>
      <c r="AJ5" s="48" t="s">
        <v>42</v>
      </c>
      <c r="AK5" s="54" t="s">
        <v>76</v>
      </c>
    </row>
    <row r="6">
      <c r="A6" s="19" t="s">
        <v>137</v>
      </c>
      <c r="B6" s="71" t="s">
        <v>38</v>
      </c>
      <c r="C6" s="71" t="s">
        <v>38</v>
      </c>
      <c r="D6" s="71" t="s">
        <v>38</v>
      </c>
      <c r="E6" s="71" t="s">
        <v>40</v>
      </c>
      <c r="F6" s="71" t="s">
        <v>63</v>
      </c>
      <c r="G6" s="71" t="s">
        <v>63</v>
      </c>
      <c r="H6" s="71" t="s">
        <v>63</v>
      </c>
      <c r="I6" s="71" t="s">
        <v>63</v>
      </c>
      <c r="J6" s="71" t="s">
        <v>63</v>
      </c>
      <c r="K6" s="71" t="s">
        <v>63</v>
      </c>
      <c r="L6" s="71" t="s">
        <v>63</v>
      </c>
      <c r="M6" s="71" t="s">
        <v>63</v>
      </c>
      <c r="N6" s="71" t="s">
        <v>63</v>
      </c>
      <c r="O6" s="71" t="s">
        <v>63</v>
      </c>
      <c r="P6" s="71" t="s">
        <v>63</v>
      </c>
      <c r="Q6" s="71" t="s">
        <v>63</v>
      </c>
      <c r="R6" s="71" t="s">
        <v>63</v>
      </c>
      <c r="S6" s="71" t="s">
        <v>63</v>
      </c>
      <c r="T6" s="71" t="s">
        <v>63</v>
      </c>
      <c r="U6" s="71" t="s">
        <v>63</v>
      </c>
      <c r="V6" s="71" t="s">
        <v>63</v>
      </c>
      <c r="W6" s="71" t="s">
        <v>63</v>
      </c>
      <c r="X6" s="71" t="s">
        <v>63</v>
      </c>
      <c r="Y6" s="71" t="s">
        <v>63</v>
      </c>
      <c r="Z6" s="71" t="s">
        <v>63</v>
      </c>
      <c r="AA6" s="71" t="s">
        <v>63</v>
      </c>
      <c r="AB6" s="71" t="s">
        <v>63</v>
      </c>
      <c r="AC6" s="71" t="s">
        <v>63</v>
      </c>
      <c r="AD6" s="71" t="s">
        <v>63</v>
      </c>
      <c r="AE6" s="71" t="s">
        <v>63</v>
      </c>
      <c r="AF6" s="71" t="s">
        <v>63</v>
      </c>
      <c r="AG6" s="49">
        <f t="shared" ref="AG6:AG11" si="1">COUNTIF(B6:AF6,"D")</f>
        <v>3</v>
      </c>
      <c r="AH6" s="49">
        <f t="shared" ref="AH6:AH11" si="2">COUNTIF(B6:AF6,"N")</f>
        <v>0</v>
      </c>
      <c r="AI6" s="49">
        <f t="shared" ref="AI6:AI11" si="3">COUNTIF(B6:AF6,"X")</f>
        <v>1</v>
      </c>
      <c r="AJ6" s="49">
        <f t="shared" ref="AJ6:AJ11" si="4">AG6+AH6</f>
        <v>3</v>
      </c>
      <c r="AK6" s="84">
        <f t="shared" ref="AK6:AK11" si="5">(AJ6*12)/4.2</f>
        <v>8.571428571</v>
      </c>
    </row>
    <row r="7">
      <c r="A7" s="19" t="s">
        <v>43</v>
      </c>
      <c r="B7" s="69" t="s">
        <v>39</v>
      </c>
      <c r="C7" s="69" t="s">
        <v>39</v>
      </c>
      <c r="D7" s="69" t="s">
        <v>40</v>
      </c>
      <c r="E7" s="69" t="s">
        <v>40</v>
      </c>
      <c r="F7" s="69" t="s">
        <v>39</v>
      </c>
      <c r="G7" s="69" t="s">
        <v>39</v>
      </c>
      <c r="H7" s="69" t="s">
        <v>40</v>
      </c>
      <c r="I7" s="60" t="s">
        <v>40</v>
      </c>
      <c r="J7" s="60" t="s">
        <v>39</v>
      </c>
      <c r="K7" s="60" t="s">
        <v>39</v>
      </c>
      <c r="L7" s="60" t="s">
        <v>40</v>
      </c>
      <c r="M7" s="61" t="s">
        <v>40</v>
      </c>
      <c r="N7" s="61" t="s">
        <v>39</v>
      </c>
      <c r="O7" s="61" t="s">
        <v>39</v>
      </c>
      <c r="P7" s="70" t="s">
        <v>40</v>
      </c>
      <c r="Q7" s="70" t="s">
        <v>40</v>
      </c>
      <c r="R7" s="70" t="s">
        <v>40</v>
      </c>
      <c r="S7" s="70" t="s">
        <v>38</v>
      </c>
      <c r="T7" s="70" t="s">
        <v>38</v>
      </c>
      <c r="U7" s="70" t="s">
        <v>40</v>
      </c>
      <c r="V7" s="70" t="s">
        <v>40</v>
      </c>
      <c r="W7" s="71" t="s">
        <v>38</v>
      </c>
      <c r="X7" s="70" t="s">
        <v>38</v>
      </c>
      <c r="Y7" s="71" t="s">
        <v>40</v>
      </c>
      <c r="Z7" s="71" t="s">
        <v>40</v>
      </c>
      <c r="AA7" s="71" t="s">
        <v>38</v>
      </c>
      <c r="AB7" s="71" t="s">
        <v>38</v>
      </c>
      <c r="AC7" s="71" t="s">
        <v>40</v>
      </c>
      <c r="AD7" s="71" t="s">
        <v>39</v>
      </c>
      <c r="AE7" s="71" t="s">
        <v>39</v>
      </c>
      <c r="AF7" s="71" t="s">
        <v>40</v>
      </c>
      <c r="AG7" s="49">
        <f t="shared" si="1"/>
        <v>6</v>
      </c>
      <c r="AH7" s="49">
        <f t="shared" si="2"/>
        <v>10</v>
      </c>
      <c r="AI7" s="49">
        <f t="shared" si="3"/>
        <v>15</v>
      </c>
      <c r="AJ7" s="49">
        <f t="shared" si="4"/>
        <v>16</v>
      </c>
      <c r="AK7" s="84">
        <f t="shared" si="5"/>
        <v>45.71428571</v>
      </c>
    </row>
    <row r="8">
      <c r="A8" s="13" t="s">
        <v>138</v>
      </c>
      <c r="B8" s="69" t="s">
        <v>40</v>
      </c>
      <c r="C8" s="69" t="s">
        <v>40</v>
      </c>
      <c r="D8" s="69" t="s">
        <v>39</v>
      </c>
      <c r="E8" s="69" t="s">
        <v>39</v>
      </c>
      <c r="F8" s="69" t="s">
        <v>40</v>
      </c>
      <c r="G8" s="69" t="s">
        <v>40</v>
      </c>
      <c r="H8" s="69" t="s">
        <v>39</v>
      </c>
      <c r="I8" s="69" t="s">
        <v>39</v>
      </c>
      <c r="J8" s="69" t="s">
        <v>40</v>
      </c>
      <c r="K8" s="69" t="s">
        <v>40</v>
      </c>
      <c r="L8" s="69" t="s">
        <v>39</v>
      </c>
      <c r="M8" s="69" t="s">
        <v>39</v>
      </c>
      <c r="N8" s="69" t="s">
        <v>40</v>
      </c>
      <c r="O8" s="69" t="s">
        <v>40</v>
      </c>
      <c r="P8" s="60" t="s">
        <v>39</v>
      </c>
      <c r="Q8" s="60" t="s">
        <v>39</v>
      </c>
      <c r="R8" s="60" t="s">
        <v>39</v>
      </c>
      <c r="S8" s="60" t="s">
        <v>40</v>
      </c>
      <c r="T8" s="60" t="s">
        <v>40</v>
      </c>
      <c r="U8" s="61" t="s">
        <v>38</v>
      </c>
      <c r="V8" s="61" t="s">
        <v>38</v>
      </c>
      <c r="W8" s="70" t="s">
        <v>40</v>
      </c>
      <c r="X8" s="1" t="s">
        <v>40</v>
      </c>
      <c r="Y8" s="70" t="s">
        <v>38</v>
      </c>
      <c r="Z8" s="70" t="s">
        <v>38</v>
      </c>
      <c r="AA8" s="70" t="s">
        <v>40</v>
      </c>
      <c r="AB8" s="70" t="s">
        <v>40</v>
      </c>
      <c r="AC8" s="70" t="s">
        <v>38</v>
      </c>
      <c r="AD8" s="70" t="s">
        <v>38</v>
      </c>
      <c r="AE8" s="70" t="s">
        <v>40</v>
      </c>
      <c r="AF8" s="70" t="s">
        <v>40</v>
      </c>
      <c r="AG8" s="49">
        <f t="shared" si="1"/>
        <v>6</v>
      </c>
      <c r="AH8" s="49">
        <f t="shared" si="2"/>
        <v>9</v>
      </c>
      <c r="AI8" s="49">
        <f t="shared" si="3"/>
        <v>16</v>
      </c>
      <c r="AJ8" s="49">
        <f t="shared" si="4"/>
        <v>15</v>
      </c>
      <c r="AK8" s="84">
        <f t="shared" si="5"/>
        <v>42.85714286</v>
      </c>
    </row>
    <row r="9">
      <c r="A9" s="13" t="s">
        <v>48</v>
      </c>
      <c r="B9" s="60" t="s">
        <v>40</v>
      </c>
      <c r="C9" s="60" t="s">
        <v>40</v>
      </c>
      <c r="D9" s="60" t="s">
        <v>68</v>
      </c>
      <c r="E9" s="60" t="s">
        <v>38</v>
      </c>
      <c r="F9" s="60" t="s">
        <v>68</v>
      </c>
      <c r="G9" s="61" t="s">
        <v>40</v>
      </c>
      <c r="H9" s="61" t="s">
        <v>38</v>
      </c>
      <c r="I9" s="70" t="s">
        <v>38</v>
      </c>
      <c r="J9" s="70" t="s">
        <v>40</v>
      </c>
      <c r="K9" s="70" t="s">
        <v>38</v>
      </c>
      <c r="L9" s="70" t="s">
        <v>38</v>
      </c>
      <c r="M9" s="70" t="s">
        <v>38</v>
      </c>
      <c r="N9" s="70" t="s">
        <v>40</v>
      </c>
      <c r="O9" s="70" t="s">
        <v>40</v>
      </c>
      <c r="P9" s="70" t="s">
        <v>40</v>
      </c>
      <c r="Q9" s="70" t="s">
        <v>38</v>
      </c>
      <c r="R9" s="70" t="s">
        <v>38</v>
      </c>
      <c r="S9" s="70" t="s">
        <v>40</v>
      </c>
      <c r="T9" s="70" t="s">
        <v>39</v>
      </c>
      <c r="U9" s="70" t="s">
        <v>39</v>
      </c>
      <c r="V9" s="70" t="s">
        <v>40</v>
      </c>
      <c r="W9" s="60" t="s">
        <v>39</v>
      </c>
      <c r="X9" s="60" t="s">
        <v>39</v>
      </c>
      <c r="Y9" s="60" t="s">
        <v>40</v>
      </c>
      <c r="Z9" s="60" t="s">
        <v>39</v>
      </c>
      <c r="AA9" s="60" t="s">
        <v>39</v>
      </c>
      <c r="AB9" s="61" t="s">
        <v>39</v>
      </c>
      <c r="AC9" s="61" t="s">
        <v>40</v>
      </c>
      <c r="AD9" s="61" t="s">
        <v>40</v>
      </c>
      <c r="AE9" s="61" t="s">
        <v>38</v>
      </c>
      <c r="AF9" s="61" t="s">
        <v>38</v>
      </c>
      <c r="AG9" s="49">
        <f t="shared" si="1"/>
        <v>10</v>
      </c>
      <c r="AH9" s="49">
        <f t="shared" si="2"/>
        <v>7</v>
      </c>
      <c r="AI9" s="49">
        <f t="shared" si="3"/>
        <v>12</v>
      </c>
      <c r="AJ9" s="49">
        <f t="shared" si="4"/>
        <v>17</v>
      </c>
      <c r="AK9" s="84">
        <f t="shared" si="5"/>
        <v>48.57142857</v>
      </c>
    </row>
    <row r="10">
      <c r="A10" s="88" t="s">
        <v>47</v>
      </c>
      <c r="B10" s="69" t="s">
        <v>41</v>
      </c>
      <c r="C10" s="69" t="s">
        <v>41</v>
      </c>
      <c r="D10" s="69" t="s">
        <v>40</v>
      </c>
      <c r="E10" s="69" t="s">
        <v>40</v>
      </c>
      <c r="F10" s="69" t="s">
        <v>38</v>
      </c>
      <c r="G10" s="69" t="s">
        <v>38</v>
      </c>
      <c r="H10" s="69" t="s">
        <v>41</v>
      </c>
      <c r="I10" s="69" t="s">
        <v>41</v>
      </c>
      <c r="J10" s="69" t="s">
        <v>38</v>
      </c>
      <c r="K10" s="69" t="s">
        <v>40</v>
      </c>
      <c r="L10" s="69" t="s">
        <v>40</v>
      </c>
      <c r="M10" s="69" t="s">
        <v>41</v>
      </c>
      <c r="N10" s="69" t="s">
        <v>38</v>
      </c>
      <c r="O10" s="69" t="s">
        <v>38</v>
      </c>
      <c r="P10" s="69" t="s">
        <v>38</v>
      </c>
      <c r="Q10" s="69" t="s">
        <v>41</v>
      </c>
      <c r="R10" s="69" t="s">
        <v>40</v>
      </c>
      <c r="S10" s="69" t="s">
        <v>39</v>
      </c>
      <c r="T10" s="69" t="s">
        <v>40</v>
      </c>
      <c r="U10" s="69" t="s">
        <v>41</v>
      </c>
      <c r="V10" s="69" t="s">
        <v>39</v>
      </c>
      <c r="W10" s="70" t="s">
        <v>40</v>
      </c>
      <c r="X10" s="70" t="s">
        <v>41</v>
      </c>
      <c r="Y10" s="70" t="s">
        <v>39</v>
      </c>
      <c r="Z10" s="70" t="s">
        <v>40</v>
      </c>
      <c r="AA10" s="70" t="s">
        <v>41</v>
      </c>
      <c r="AB10" s="70" t="s">
        <v>41</v>
      </c>
      <c r="AC10" s="70" t="s">
        <v>39</v>
      </c>
      <c r="AD10" s="70" t="s">
        <v>40</v>
      </c>
      <c r="AE10" s="70" t="s">
        <v>41</v>
      </c>
      <c r="AF10" s="70" t="s">
        <v>39</v>
      </c>
      <c r="AG10" s="49">
        <f t="shared" si="1"/>
        <v>6</v>
      </c>
      <c r="AH10" s="49">
        <f t="shared" si="2"/>
        <v>5</v>
      </c>
      <c r="AI10" s="49">
        <f t="shared" si="3"/>
        <v>9</v>
      </c>
      <c r="AJ10" s="49">
        <f t="shared" si="4"/>
        <v>11</v>
      </c>
      <c r="AK10" s="84">
        <f t="shared" si="5"/>
        <v>31.42857143</v>
      </c>
    </row>
    <row r="11">
      <c r="A11" s="13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49">
        <f t="shared" si="1"/>
        <v>0</v>
      </c>
      <c r="AH11" s="49">
        <f t="shared" si="2"/>
        <v>0</v>
      </c>
      <c r="AI11" s="49">
        <f t="shared" si="3"/>
        <v>0</v>
      </c>
      <c r="AJ11" s="49">
        <f t="shared" si="4"/>
        <v>0</v>
      </c>
      <c r="AK11" s="84">
        <f t="shared" si="5"/>
        <v>0</v>
      </c>
    </row>
    <row r="12">
      <c r="A12" s="23" t="s">
        <v>49</v>
      </c>
      <c r="B12" s="24">
        <f t="shared" ref="B12:AF12" si="6">COUNTIF(B6:B11,"D")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1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1</v>
      </c>
      <c r="AB12" s="24">
        <f t="shared" si="6"/>
        <v>1</v>
      </c>
      <c r="AC12" s="24">
        <f t="shared" si="6"/>
        <v>1</v>
      </c>
      <c r="AD12" s="24">
        <f t="shared" si="6"/>
        <v>1</v>
      </c>
      <c r="AE12" s="24">
        <f t="shared" si="6"/>
        <v>1</v>
      </c>
      <c r="AF12" s="24">
        <f t="shared" si="6"/>
        <v>1</v>
      </c>
      <c r="AJ12" s="49"/>
    </row>
    <row r="13">
      <c r="A13" s="26" t="s">
        <v>50</v>
      </c>
      <c r="B13" s="27">
        <f t="shared" ref="B13:AF13" si="7">COUNTIF(B6:B11,"N")</f>
        <v>1</v>
      </c>
      <c r="C13" s="27">
        <f t="shared" si="7"/>
        <v>1</v>
      </c>
      <c r="D13" s="27">
        <f t="shared" si="7"/>
        <v>1</v>
      </c>
      <c r="E13" s="27">
        <f t="shared" si="7"/>
        <v>1</v>
      </c>
      <c r="F13" s="27">
        <f t="shared" si="7"/>
        <v>1</v>
      </c>
      <c r="G13" s="27">
        <f t="shared" si="7"/>
        <v>1</v>
      </c>
      <c r="H13" s="27">
        <f t="shared" si="7"/>
        <v>1</v>
      </c>
      <c r="I13" s="27">
        <f t="shared" si="7"/>
        <v>1</v>
      </c>
      <c r="J13" s="27">
        <f t="shared" si="7"/>
        <v>1</v>
      </c>
      <c r="K13" s="27">
        <f t="shared" si="7"/>
        <v>1</v>
      </c>
      <c r="L13" s="27">
        <f t="shared" si="7"/>
        <v>1</v>
      </c>
      <c r="M13" s="27">
        <f t="shared" si="7"/>
        <v>1</v>
      </c>
      <c r="N13" s="27">
        <f t="shared" si="7"/>
        <v>1</v>
      </c>
      <c r="O13" s="27">
        <f t="shared" si="7"/>
        <v>1</v>
      </c>
      <c r="P13" s="27">
        <f t="shared" si="7"/>
        <v>1</v>
      </c>
      <c r="Q13" s="27">
        <f t="shared" si="7"/>
        <v>1</v>
      </c>
      <c r="R13" s="27">
        <f t="shared" si="7"/>
        <v>1</v>
      </c>
      <c r="S13" s="27">
        <f t="shared" si="7"/>
        <v>1</v>
      </c>
      <c r="T13" s="27">
        <f t="shared" si="7"/>
        <v>1</v>
      </c>
      <c r="U13" s="27">
        <f t="shared" si="7"/>
        <v>1</v>
      </c>
      <c r="V13" s="27">
        <f t="shared" si="7"/>
        <v>1</v>
      </c>
      <c r="W13" s="27">
        <f t="shared" si="7"/>
        <v>1</v>
      </c>
      <c r="X13" s="27">
        <f t="shared" si="7"/>
        <v>1</v>
      </c>
      <c r="Y13" s="27">
        <f t="shared" si="7"/>
        <v>1</v>
      </c>
      <c r="Z13" s="27">
        <f t="shared" si="7"/>
        <v>1</v>
      </c>
      <c r="AA13" s="27">
        <f t="shared" si="7"/>
        <v>1</v>
      </c>
      <c r="AB13" s="27">
        <f t="shared" si="7"/>
        <v>1</v>
      </c>
      <c r="AC13" s="27">
        <f t="shared" si="7"/>
        <v>1</v>
      </c>
      <c r="AD13" s="27">
        <f t="shared" si="7"/>
        <v>1</v>
      </c>
      <c r="AE13" s="27">
        <f t="shared" si="7"/>
        <v>1</v>
      </c>
      <c r="AF13" s="27">
        <f t="shared" si="7"/>
        <v>1</v>
      </c>
    </row>
    <row r="14">
      <c r="B14" s="85" t="s">
        <v>120</v>
      </c>
      <c r="AG14" s="44" t="s">
        <v>38</v>
      </c>
      <c r="AH14" s="45" t="s">
        <v>39</v>
      </c>
      <c r="AI14" s="46" t="s">
        <v>40</v>
      </c>
      <c r="AJ14" s="48" t="s">
        <v>42</v>
      </c>
      <c r="AK14" s="54" t="s">
        <v>76</v>
      </c>
    </row>
    <row r="15">
      <c r="A15" s="13" t="s">
        <v>104</v>
      </c>
      <c r="B15" s="69" t="s">
        <v>44</v>
      </c>
      <c r="C15" s="69" t="s">
        <v>44</v>
      </c>
      <c r="D15" s="69" t="s">
        <v>40</v>
      </c>
      <c r="E15" s="69" t="s">
        <v>40</v>
      </c>
      <c r="F15" s="69" t="s">
        <v>44</v>
      </c>
      <c r="G15" s="69" t="s">
        <v>44</v>
      </c>
      <c r="H15" s="69" t="s">
        <v>44</v>
      </c>
      <c r="I15" s="69" t="s">
        <v>38</v>
      </c>
      <c r="J15" s="69" t="s">
        <v>38</v>
      </c>
      <c r="K15" s="69" t="s">
        <v>38</v>
      </c>
      <c r="L15" s="69" t="s">
        <v>40</v>
      </c>
      <c r="M15" s="69" t="s">
        <v>40</v>
      </c>
      <c r="N15" s="69" t="s">
        <v>38</v>
      </c>
      <c r="O15" s="69" t="s">
        <v>38</v>
      </c>
      <c r="P15" s="69" t="s">
        <v>38</v>
      </c>
      <c r="Q15" s="69" t="s">
        <v>38</v>
      </c>
      <c r="R15" s="69" t="s">
        <v>40</v>
      </c>
      <c r="S15" s="69" t="s">
        <v>40</v>
      </c>
      <c r="T15" s="69" t="s">
        <v>39</v>
      </c>
      <c r="U15" s="69" t="s">
        <v>39</v>
      </c>
      <c r="V15" s="69" t="s">
        <v>39</v>
      </c>
      <c r="W15" s="69" t="s">
        <v>39</v>
      </c>
      <c r="X15" s="69" t="s">
        <v>39</v>
      </c>
      <c r="Y15" s="69" t="s">
        <v>40</v>
      </c>
      <c r="Z15" s="69" t="s">
        <v>40</v>
      </c>
      <c r="AA15" s="69" t="s">
        <v>39</v>
      </c>
      <c r="AB15" s="69" t="s">
        <v>39</v>
      </c>
      <c r="AC15" s="69" t="s">
        <v>39</v>
      </c>
      <c r="AD15" s="69" t="s">
        <v>39</v>
      </c>
      <c r="AE15" s="69" t="s">
        <v>39</v>
      </c>
      <c r="AF15" s="69" t="s">
        <v>40</v>
      </c>
      <c r="AG15" s="49">
        <f t="shared" ref="AG15:AG17" si="8">COUNTIF(B15:AF15,"D")</f>
        <v>7</v>
      </c>
      <c r="AH15" s="49">
        <f t="shared" ref="AH15:AH17" si="9">COUNTIF(B15:AF15,"N")</f>
        <v>10</v>
      </c>
      <c r="AI15" s="49">
        <f t="shared" ref="AI15:AI17" si="10">COUNTIF(B15:AF15,"X")</f>
        <v>9</v>
      </c>
      <c r="AJ15" s="49">
        <f t="shared" ref="AJ15:AJ17" si="11">AG15+AH15</f>
        <v>17</v>
      </c>
      <c r="AK15" s="84">
        <f t="shared" ref="AK15:AK17" si="12">(AJ15*10)/4</f>
        <v>42.5</v>
      </c>
    </row>
    <row r="16">
      <c r="A16" s="13" t="s">
        <v>121</v>
      </c>
      <c r="B16" s="69" t="s">
        <v>38</v>
      </c>
      <c r="C16" s="69" t="s">
        <v>38</v>
      </c>
      <c r="D16" s="69" t="s">
        <v>40</v>
      </c>
      <c r="E16" s="69" t="s">
        <v>40</v>
      </c>
      <c r="F16" s="69" t="s">
        <v>39</v>
      </c>
      <c r="G16" s="69" t="s">
        <v>38</v>
      </c>
      <c r="H16" s="69" t="s">
        <v>38</v>
      </c>
      <c r="I16" s="69" t="s">
        <v>39</v>
      </c>
      <c r="J16" s="69" t="s">
        <v>39</v>
      </c>
      <c r="K16" s="69" t="s">
        <v>40</v>
      </c>
      <c r="L16" s="69" t="s">
        <v>40</v>
      </c>
      <c r="M16" s="69" t="s">
        <v>38</v>
      </c>
      <c r="N16" s="69" t="s">
        <v>39</v>
      </c>
      <c r="O16" s="69" t="s">
        <v>39</v>
      </c>
      <c r="P16" s="69" t="s">
        <v>39</v>
      </c>
      <c r="Q16" s="69" t="s">
        <v>39</v>
      </c>
      <c r="R16" s="69" t="s">
        <v>40</v>
      </c>
      <c r="S16" s="69" t="s">
        <v>40</v>
      </c>
      <c r="T16" s="69" t="s">
        <v>38</v>
      </c>
      <c r="U16" s="69" t="s">
        <v>38</v>
      </c>
      <c r="V16" s="69" t="s">
        <v>38</v>
      </c>
      <c r="W16" s="69" t="s">
        <v>38</v>
      </c>
      <c r="X16" s="69" t="s">
        <v>38</v>
      </c>
      <c r="Y16" s="69" t="s">
        <v>40</v>
      </c>
      <c r="Z16" s="69" t="s">
        <v>40</v>
      </c>
      <c r="AA16" s="69" t="s">
        <v>38</v>
      </c>
      <c r="AB16" s="69" t="s">
        <v>38</v>
      </c>
      <c r="AC16" s="69" t="s">
        <v>38</v>
      </c>
      <c r="AD16" s="69" t="s">
        <v>38</v>
      </c>
      <c r="AE16" s="69" t="s">
        <v>38</v>
      </c>
      <c r="AF16" s="69" t="s">
        <v>40</v>
      </c>
      <c r="AG16" s="49">
        <f t="shared" si="8"/>
        <v>15</v>
      </c>
      <c r="AH16" s="49">
        <f t="shared" si="9"/>
        <v>7</v>
      </c>
      <c r="AI16" s="49">
        <f t="shared" si="10"/>
        <v>9</v>
      </c>
      <c r="AJ16" s="49">
        <f t="shared" si="11"/>
        <v>22</v>
      </c>
      <c r="AK16" s="84">
        <f t="shared" si="12"/>
        <v>55</v>
      </c>
    </row>
    <row r="17">
      <c r="A17" s="13" t="s">
        <v>141</v>
      </c>
      <c r="B17" s="69" t="s">
        <v>39</v>
      </c>
      <c r="C17" s="69" t="s">
        <v>39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49">
        <f t="shared" si="8"/>
        <v>0</v>
      </c>
      <c r="AH17" s="49">
        <f t="shared" si="9"/>
        <v>2</v>
      </c>
      <c r="AI17" s="49">
        <f t="shared" si="10"/>
        <v>0</v>
      </c>
      <c r="AJ17" s="49">
        <f t="shared" si="11"/>
        <v>2</v>
      </c>
      <c r="AK17" s="84">
        <f t="shared" si="12"/>
        <v>5</v>
      </c>
    </row>
    <row r="18">
      <c r="A18" s="23" t="s">
        <v>49</v>
      </c>
      <c r="B18" s="24">
        <f t="shared" ref="B18:AF18" si="13">COUNTIF(B15:B17,"D")</f>
        <v>1</v>
      </c>
      <c r="C18" s="24">
        <f t="shared" si="13"/>
        <v>1</v>
      </c>
      <c r="D18" s="24">
        <f t="shared" si="13"/>
        <v>0</v>
      </c>
      <c r="E18" s="24">
        <f t="shared" si="13"/>
        <v>0</v>
      </c>
      <c r="F18" s="24">
        <f t="shared" si="13"/>
        <v>0</v>
      </c>
      <c r="G18" s="24">
        <f t="shared" si="13"/>
        <v>1</v>
      </c>
      <c r="H18" s="24">
        <f t="shared" si="13"/>
        <v>1</v>
      </c>
      <c r="I18" s="24">
        <f t="shared" si="13"/>
        <v>1</v>
      </c>
      <c r="J18" s="24">
        <f t="shared" si="13"/>
        <v>1</v>
      </c>
      <c r="K18" s="24">
        <f t="shared" si="13"/>
        <v>1</v>
      </c>
      <c r="L18" s="24">
        <f t="shared" si="13"/>
        <v>0</v>
      </c>
      <c r="M18" s="24">
        <f t="shared" si="13"/>
        <v>1</v>
      </c>
      <c r="N18" s="24">
        <f t="shared" si="13"/>
        <v>1</v>
      </c>
      <c r="O18" s="24">
        <f t="shared" si="13"/>
        <v>1</v>
      </c>
      <c r="P18" s="24">
        <f t="shared" si="13"/>
        <v>1</v>
      </c>
      <c r="Q18" s="24">
        <f t="shared" si="13"/>
        <v>1</v>
      </c>
      <c r="R18" s="24">
        <f t="shared" si="13"/>
        <v>0</v>
      </c>
      <c r="S18" s="24">
        <f t="shared" si="13"/>
        <v>0</v>
      </c>
      <c r="T18" s="24">
        <f t="shared" si="13"/>
        <v>1</v>
      </c>
      <c r="U18" s="24">
        <f t="shared" si="13"/>
        <v>1</v>
      </c>
      <c r="V18" s="24">
        <f t="shared" si="13"/>
        <v>1</v>
      </c>
      <c r="W18" s="24">
        <f t="shared" si="13"/>
        <v>1</v>
      </c>
      <c r="X18" s="24">
        <f t="shared" si="13"/>
        <v>1</v>
      </c>
      <c r="Y18" s="24">
        <f t="shared" si="13"/>
        <v>0</v>
      </c>
      <c r="Z18" s="24">
        <f t="shared" si="13"/>
        <v>0</v>
      </c>
      <c r="AA18" s="24">
        <f t="shared" si="13"/>
        <v>1</v>
      </c>
      <c r="AB18" s="24">
        <f t="shared" si="13"/>
        <v>1</v>
      </c>
      <c r="AC18" s="24">
        <f t="shared" si="13"/>
        <v>1</v>
      </c>
      <c r="AD18" s="24">
        <f t="shared" si="13"/>
        <v>1</v>
      </c>
      <c r="AE18" s="24">
        <f t="shared" si="13"/>
        <v>1</v>
      </c>
      <c r="AF18" s="24">
        <f t="shared" si="13"/>
        <v>0</v>
      </c>
      <c r="AG18" s="53"/>
      <c r="AH18" s="53"/>
      <c r="AI18" s="53"/>
      <c r="AJ18" s="53"/>
      <c r="AK18" s="53"/>
    </row>
    <row r="19">
      <c r="A19" s="26" t="s">
        <v>50</v>
      </c>
      <c r="B19" s="27">
        <f t="shared" ref="B19:AF19" si="14">COUNTIF(B15:B17,"N")</f>
        <v>1</v>
      </c>
      <c r="C19" s="27">
        <f t="shared" si="14"/>
        <v>1</v>
      </c>
      <c r="D19" s="27">
        <f t="shared" si="14"/>
        <v>0</v>
      </c>
      <c r="E19" s="27">
        <f t="shared" si="14"/>
        <v>0</v>
      </c>
      <c r="F19" s="27">
        <f t="shared" si="14"/>
        <v>1</v>
      </c>
      <c r="G19" s="27">
        <f t="shared" si="14"/>
        <v>0</v>
      </c>
      <c r="H19" s="27">
        <f t="shared" si="14"/>
        <v>0</v>
      </c>
      <c r="I19" s="27">
        <f t="shared" si="14"/>
        <v>1</v>
      </c>
      <c r="J19" s="27">
        <f t="shared" si="14"/>
        <v>1</v>
      </c>
      <c r="K19" s="27">
        <f t="shared" si="14"/>
        <v>0</v>
      </c>
      <c r="L19" s="27">
        <f t="shared" si="14"/>
        <v>0</v>
      </c>
      <c r="M19" s="27">
        <f t="shared" si="14"/>
        <v>0</v>
      </c>
      <c r="N19" s="27">
        <f t="shared" si="14"/>
        <v>1</v>
      </c>
      <c r="O19" s="27">
        <f t="shared" si="14"/>
        <v>1</v>
      </c>
      <c r="P19" s="27">
        <f t="shared" si="14"/>
        <v>1</v>
      </c>
      <c r="Q19" s="27">
        <f t="shared" si="14"/>
        <v>1</v>
      </c>
      <c r="R19" s="27">
        <f t="shared" si="14"/>
        <v>0</v>
      </c>
      <c r="S19" s="27">
        <f t="shared" si="14"/>
        <v>0</v>
      </c>
      <c r="T19" s="27">
        <f t="shared" si="14"/>
        <v>1</v>
      </c>
      <c r="U19" s="27">
        <f t="shared" si="14"/>
        <v>1</v>
      </c>
      <c r="V19" s="27">
        <f t="shared" si="14"/>
        <v>1</v>
      </c>
      <c r="W19" s="27">
        <f t="shared" si="14"/>
        <v>1</v>
      </c>
      <c r="X19" s="27">
        <f t="shared" si="14"/>
        <v>1</v>
      </c>
      <c r="Y19" s="27">
        <f t="shared" si="14"/>
        <v>0</v>
      </c>
      <c r="Z19" s="27">
        <f t="shared" si="14"/>
        <v>0</v>
      </c>
      <c r="AA19" s="27">
        <f t="shared" si="14"/>
        <v>1</v>
      </c>
      <c r="AB19" s="27">
        <f t="shared" si="14"/>
        <v>1</v>
      </c>
      <c r="AC19" s="27">
        <f t="shared" si="14"/>
        <v>1</v>
      </c>
      <c r="AD19" s="27">
        <f t="shared" si="14"/>
        <v>1</v>
      </c>
      <c r="AE19" s="27">
        <f t="shared" si="14"/>
        <v>1</v>
      </c>
      <c r="AF19" s="27">
        <f t="shared" si="14"/>
        <v>0</v>
      </c>
      <c r="AG19" s="22"/>
      <c r="AH19" s="22"/>
      <c r="AI19" s="22"/>
      <c r="AJ19" s="22"/>
      <c r="AK19" s="22"/>
    </row>
    <row r="20">
      <c r="I20" s="28"/>
      <c r="J20" s="11"/>
      <c r="K20" s="68"/>
      <c r="L20" s="68"/>
      <c r="M20" s="68"/>
      <c r="N20" s="68"/>
      <c r="O20" s="68"/>
      <c r="P20" s="68"/>
      <c r="Q20" s="68"/>
      <c r="R20" s="11"/>
      <c r="S20" s="11"/>
      <c r="T20" s="11"/>
      <c r="U20" s="11"/>
      <c r="V20" s="43" t="s">
        <v>0</v>
      </c>
      <c r="W20" s="11"/>
      <c r="AG20" s="22"/>
      <c r="AH20" s="22"/>
      <c r="AI20" s="22"/>
      <c r="AJ20" s="22"/>
      <c r="AK20" s="22"/>
    </row>
    <row r="22">
      <c r="A22" s="6"/>
      <c r="B22" s="11"/>
      <c r="C22" s="29" t="s">
        <v>51</v>
      </c>
      <c r="D22" s="30"/>
      <c r="E22" s="30"/>
      <c r="F22" s="31"/>
      <c r="H22" s="13"/>
      <c r="I22" s="71"/>
      <c r="J22" s="71"/>
      <c r="K22" s="71"/>
      <c r="L22" s="71"/>
      <c r="M22" s="71"/>
      <c r="N22" s="71"/>
      <c r="O22" s="71"/>
      <c r="P22" s="19"/>
      <c r="Q22" s="70"/>
      <c r="R22" s="70"/>
      <c r="S22" s="70"/>
      <c r="T22" s="71"/>
      <c r="U22" s="71"/>
      <c r="V22" s="71"/>
      <c r="W22" s="71"/>
      <c r="X22" s="71"/>
      <c r="Y22" s="71"/>
      <c r="Z22" s="71"/>
    </row>
    <row r="23">
      <c r="A23" s="6"/>
      <c r="B23" s="87"/>
      <c r="C23" s="33" t="s">
        <v>38</v>
      </c>
      <c r="D23" s="1" t="s">
        <v>52</v>
      </c>
      <c r="F23" s="34"/>
      <c r="I23" s="70"/>
      <c r="J23" s="70"/>
      <c r="K23" s="70"/>
      <c r="L23" s="70"/>
      <c r="M23" s="70"/>
      <c r="N23" s="70"/>
      <c r="O23" s="70"/>
      <c r="P23" s="13"/>
      <c r="Q23" s="60"/>
      <c r="R23" s="61"/>
      <c r="S23" s="61"/>
      <c r="T23" s="70"/>
      <c r="U23" s="70"/>
      <c r="V23" s="70"/>
      <c r="W23" s="70"/>
      <c r="X23" s="70"/>
      <c r="Y23" s="70"/>
      <c r="Z23" s="70"/>
      <c r="AD23" s="86"/>
      <c r="AE23" s="86"/>
      <c r="AF23" s="86"/>
      <c r="AG23" s="94"/>
      <c r="AH23" s="94"/>
      <c r="AI23" s="94"/>
      <c r="AJ23" s="94"/>
      <c r="AK23" s="94"/>
    </row>
    <row r="24">
      <c r="A24" s="12"/>
      <c r="B24" s="87"/>
      <c r="C24" s="33" t="s">
        <v>39</v>
      </c>
      <c r="D24" s="1" t="s">
        <v>53</v>
      </c>
      <c r="F24" s="34"/>
      <c r="H24" s="19"/>
      <c r="I24" s="13"/>
      <c r="J24" s="60"/>
      <c r="K24" s="61"/>
      <c r="L24" s="61"/>
      <c r="M24" s="61"/>
      <c r="N24" s="61"/>
      <c r="O24" s="61"/>
      <c r="P24" s="13"/>
      <c r="Q24" s="70"/>
      <c r="R24" s="70"/>
      <c r="S24" s="70"/>
      <c r="T24" s="60"/>
      <c r="U24" s="60"/>
      <c r="V24" s="60"/>
      <c r="W24" s="60"/>
      <c r="X24" s="60"/>
      <c r="Y24" s="61"/>
      <c r="Z24" s="61"/>
      <c r="AD24" s="87"/>
      <c r="AE24" s="87"/>
      <c r="AF24" s="87"/>
      <c r="AG24" s="87"/>
      <c r="AH24" s="87"/>
      <c r="AI24" s="87"/>
      <c r="AJ24" s="87"/>
      <c r="AK24" s="87"/>
    </row>
    <row r="25">
      <c r="B25" s="71"/>
      <c r="C25" s="33" t="s">
        <v>41</v>
      </c>
      <c r="D25" s="1" t="s">
        <v>54</v>
      </c>
      <c r="F25" s="34"/>
      <c r="H25" s="13"/>
      <c r="I25" s="70"/>
      <c r="J25" s="70"/>
      <c r="K25" s="70"/>
      <c r="L25" s="70"/>
      <c r="M25" s="70"/>
      <c r="N25" s="70"/>
      <c r="O25" s="70"/>
      <c r="P25" s="13"/>
      <c r="Q25" s="69"/>
      <c r="R25" s="69"/>
      <c r="S25" s="69"/>
      <c r="T25" s="70"/>
      <c r="U25" s="70"/>
      <c r="V25" s="88"/>
      <c r="W25" s="88"/>
      <c r="X25" s="70"/>
      <c r="Y25" s="70"/>
      <c r="Z25" s="70"/>
      <c r="AD25" s="71"/>
      <c r="AE25" s="71"/>
      <c r="AF25" s="71"/>
      <c r="AG25" s="95"/>
      <c r="AH25" s="95"/>
      <c r="AI25" s="95"/>
      <c r="AJ25" s="95"/>
      <c r="AK25" s="96"/>
    </row>
    <row r="26">
      <c r="A26" s="97"/>
      <c r="B26" s="69"/>
      <c r="C26" s="33" t="s">
        <v>55</v>
      </c>
      <c r="D26" s="1" t="s">
        <v>56</v>
      </c>
      <c r="F26" s="34"/>
      <c r="G26" s="72"/>
      <c r="H26" s="13"/>
      <c r="I26" s="70"/>
      <c r="J26" s="70"/>
      <c r="K26" s="70"/>
      <c r="L26" s="70"/>
      <c r="M26" s="70"/>
      <c r="N26" s="70"/>
      <c r="O26" s="70"/>
      <c r="P26" s="13"/>
      <c r="R26" s="20"/>
      <c r="S26" s="20"/>
      <c r="T26" s="20"/>
      <c r="U26" s="20"/>
      <c r="V26" s="13"/>
      <c r="AD26" s="71"/>
      <c r="AE26" s="71"/>
      <c r="AF26" s="71"/>
      <c r="AG26" s="98"/>
      <c r="AH26" s="98"/>
      <c r="AI26" s="98"/>
      <c r="AJ26" s="98"/>
      <c r="AK26" s="99"/>
    </row>
    <row r="27">
      <c r="A27" s="97"/>
      <c r="B27" s="69"/>
      <c r="C27" s="33" t="s">
        <v>40</v>
      </c>
      <c r="D27" s="1" t="s">
        <v>57</v>
      </c>
      <c r="F27" s="34"/>
      <c r="G27" s="20"/>
      <c r="H27" s="13"/>
      <c r="I27" s="25"/>
      <c r="J27" s="25"/>
      <c r="K27" s="25"/>
      <c r="L27" s="25"/>
      <c r="M27" s="25"/>
      <c r="N27" s="25"/>
      <c r="O27" s="25"/>
      <c r="R27" s="20"/>
      <c r="S27" s="20"/>
      <c r="T27" s="20"/>
      <c r="U27" s="20"/>
      <c r="V27" s="89"/>
      <c r="AD27" s="70"/>
      <c r="AE27" s="70"/>
      <c r="AF27" s="70"/>
      <c r="AG27" s="98"/>
      <c r="AH27" s="98"/>
      <c r="AI27" s="98"/>
      <c r="AJ27" s="98"/>
      <c r="AK27" s="99"/>
    </row>
    <row r="28">
      <c r="A28" s="87"/>
      <c r="B28" s="60"/>
      <c r="C28" s="33" t="s">
        <v>58</v>
      </c>
      <c r="D28" s="1" t="s">
        <v>59</v>
      </c>
      <c r="F28" s="34"/>
      <c r="G28" s="20"/>
      <c r="H28" s="55"/>
      <c r="I28" s="25"/>
      <c r="J28" s="25"/>
      <c r="K28" s="25"/>
      <c r="L28" s="25"/>
      <c r="M28" s="25"/>
      <c r="N28" s="25"/>
      <c r="O28" s="25"/>
      <c r="R28" s="20"/>
      <c r="S28" s="20"/>
      <c r="T28" s="20"/>
      <c r="U28" s="20"/>
      <c r="AD28" s="61"/>
      <c r="AE28" s="61"/>
      <c r="AF28" s="61"/>
      <c r="AG28" s="98"/>
      <c r="AH28" s="98"/>
      <c r="AI28" s="98"/>
      <c r="AJ28" s="98"/>
      <c r="AK28" s="99"/>
    </row>
    <row r="29">
      <c r="A29" s="87"/>
      <c r="B29" s="69"/>
      <c r="C29" s="33" t="s">
        <v>60</v>
      </c>
      <c r="D29" s="1" t="s">
        <v>61</v>
      </c>
      <c r="F29" s="34"/>
      <c r="I29" s="25"/>
      <c r="J29" s="25"/>
      <c r="K29" s="25"/>
      <c r="L29" s="25"/>
      <c r="M29" s="20"/>
      <c r="N29" s="20"/>
      <c r="O29" s="20"/>
      <c r="AD29" s="70"/>
      <c r="AE29" s="70"/>
      <c r="AF29" s="70"/>
      <c r="AG29" s="98"/>
      <c r="AH29" s="98"/>
      <c r="AI29" s="98"/>
      <c r="AJ29" s="98"/>
      <c r="AK29" s="99"/>
    </row>
    <row r="30">
      <c r="A30" s="71"/>
      <c r="B30" s="25"/>
      <c r="C30" s="33" t="s">
        <v>44</v>
      </c>
      <c r="D30" s="1" t="s">
        <v>62</v>
      </c>
      <c r="F30" s="34"/>
      <c r="AD30" s="25"/>
      <c r="AE30" s="25"/>
      <c r="AF30" s="25"/>
      <c r="AG30" s="68"/>
      <c r="AH30" s="68"/>
      <c r="AI30" s="68"/>
      <c r="AJ30" s="98"/>
      <c r="AK30" s="68"/>
    </row>
    <row r="31">
      <c r="A31" s="71"/>
      <c r="B31" s="25"/>
      <c r="C31" s="33" t="s">
        <v>63</v>
      </c>
      <c r="D31" s="1" t="s">
        <v>64</v>
      </c>
      <c r="F31" s="34"/>
      <c r="AD31" s="25"/>
      <c r="AE31" s="25"/>
      <c r="AF31" s="25"/>
      <c r="AG31" s="68"/>
      <c r="AH31" s="68"/>
      <c r="AI31" s="68"/>
      <c r="AJ31" s="68"/>
      <c r="AK31" s="68"/>
    </row>
    <row r="32">
      <c r="C32" s="33" t="s">
        <v>65</v>
      </c>
      <c r="D32" s="1" t="s">
        <v>66</v>
      </c>
      <c r="F32" s="34"/>
    </row>
    <row r="33">
      <c r="C33" s="33" t="s">
        <v>46</v>
      </c>
      <c r="D33" s="1" t="s">
        <v>67</v>
      </c>
      <c r="F33" s="34"/>
    </row>
    <row r="34">
      <c r="C34" s="35" t="s">
        <v>68</v>
      </c>
      <c r="D34" s="36" t="s">
        <v>69</v>
      </c>
      <c r="E34" s="8"/>
      <c r="F34" s="37"/>
      <c r="AG34" s="22"/>
      <c r="AH34" s="22"/>
      <c r="AI34" s="22"/>
      <c r="AJ34" s="22"/>
      <c r="AK34" s="22"/>
    </row>
    <row r="35">
      <c r="AG35" s="22"/>
      <c r="AH35" s="22"/>
      <c r="AI35" s="22"/>
      <c r="AJ35" s="22"/>
      <c r="AK35" s="22"/>
    </row>
    <row r="49">
      <c r="E49" s="1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E52" s="69"/>
      <c r="F52" s="69"/>
      <c r="G52" s="69"/>
      <c r="H52" s="69"/>
      <c r="I52" s="69"/>
      <c r="J52" s="69"/>
      <c r="K52" s="69"/>
      <c r="L52" s="60"/>
      <c r="M52" s="60"/>
      <c r="N52" s="60"/>
      <c r="O52" s="60"/>
      <c r="P52" s="61"/>
      <c r="Q52" s="61"/>
      <c r="R52" s="61"/>
      <c r="S52" s="70"/>
      <c r="T52" s="70"/>
      <c r="U52" s="70"/>
    </row>
    <row r="53"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0"/>
      <c r="T53" s="60"/>
      <c r="U53" s="60"/>
    </row>
    <row r="54">
      <c r="E54" s="60"/>
      <c r="F54" s="60"/>
      <c r="G54" s="60"/>
      <c r="H54" s="60"/>
      <c r="I54" s="60"/>
      <c r="J54" s="61"/>
      <c r="K54" s="61"/>
      <c r="L54" s="70"/>
      <c r="M54" s="70"/>
      <c r="N54" s="70"/>
      <c r="O54" s="70"/>
      <c r="P54" s="70"/>
      <c r="Q54" s="70"/>
      <c r="R54" s="70"/>
      <c r="S54" s="70"/>
      <c r="T54" s="70"/>
      <c r="U54" s="70"/>
    </row>
    <row r="5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</sheetData>
  <mergeCells count="16">
    <mergeCell ref="B1:AC3"/>
    <mergeCell ref="B14:AF14"/>
    <mergeCell ref="C22:F22"/>
    <mergeCell ref="D23:F23"/>
    <mergeCell ref="D24:F24"/>
    <mergeCell ref="D25:F25"/>
    <mergeCell ref="D26:F26"/>
    <mergeCell ref="D33:F33"/>
    <mergeCell ref="D34:F34"/>
    <mergeCell ref="D27:F27"/>
    <mergeCell ref="V27:AC29"/>
    <mergeCell ref="D28:F28"/>
    <mergeCell ref="D29:F29"/>
    <mergeCell ref="D30:F30"/>
    <mergeCell ref="D31:F31"/>
    <mergeCell ref="D32:F32"/>
  </mergeCells>
  <conditionalFormatting sqref="B9:H9 R26:U26 B28 E54:K54">
    <cfRule type="cellIs" dxfId="0" priority="1" operator="equal">
      <formula>"X"</formula>
    </cfRule>
  </conditionalFormatting>
  <conditionalFormatting sqref="B9:H9 R26:U26 B28 E54:K54">
    <cfRule type="cellIs" dxfId="1" priority="2" operator="equal">
      <formula>"D"</formula>
    </cfRule>
  </conditionalFormatting>
  <conditionalFormatting sqref="B9:H9 R26:U26 B28 E54:K54">
    <cfRule type="cellIs" dxfId="2" priority="3" operator="equal">
      <formula>"N"</formula>
    </cfRule>
  </conditionalFormatting>
  <conditionalFormatting sqref="B9:H9 R26:U26 B28 E54:K54">
    <cfRule type="cellIs" dxfId="3" priority="4" operator="equal">
      <formula>"OB"</formula>
    </cfRule>
  </conditionalFormatting>
  <conditionalFormatting sqref="B9:H9 R26:U26 B28 E54:K54">
    <cfRule type="cellIs" dxfId="0" priority="5" operator="equal">
      <formula>"C"</formula>
    </cfRule>
  </conditionalFormatting>
  <conditionalFormatting sqref="B9:H9 R26:U26 B28 E54:K54">
    <cfRule type="cellIs" dxfId="0" priority="6" operator="equal">
      <formula>"AL"</formula>
    </cfRule>
  </conditionalFormatting>
  <conditionalFormatting sqref="B9:H9 R26:U26 B28 E54:K54">
    <cfRule type="cellIs" dxfId="4" priority="7" operator="equal">
      <formula>"UP"</formula>
    </cfRule>
  </conditionalFormatting>
  <conditionalFormatting sqref="B9:H9 R26:U26 B28 E54:K54">
    <cfRule type="cellIs" dxfId="0" priority="8" operator="equal">
      <formula>"S"</formula>
    </cfRule>
  </conditionalFormatting>
  <conditionalFormatting sqref="B9:H9 R26:U26 B28 E54:K54">
    <cfRule type="cellIs" dxfId="5" priority="9" operator="equal">
      <formula>"OC"</formula>
    </cfRule>
  </conditionalFormatting>
  <conditionalFormatting sqref="B9:H9 R26:U26 B28 E54:K54">
    <cfRule type="cellIs" dxfId="6" priority="10" operator="equal">
      <formula>"SPV"</formula>
    </cfRule>
  </conditionalFormatting>
  <conditionalFormatting sqref="B9:H9 R26:U26 B28 E54:K54">
    <cfRule type="cellIs" dxfId="7" priority="11" operator="equal">
      <formula>"INT"</formula>
    </cfRule>
  </conditionalFormatting>
  <conditionalFormatting sqref="B9:H9 R26:U26 B28 E54:K54">
    <cfRule type="cellIs" dxfId="8" priority="12" operator="equal">
      <formula>"T"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3" operator="equal">
      <formula>"X"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1" priority="14" operator="equal">
      <formula>"D"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2" priority="15" operator="equal">
      <formula>"N"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3" priority="16" operator="equal">
      <formula>"OB"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7" operator="equal">
      <formula>"C"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8" operator="equal">
      <formula>"AL"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4" priority="19" operator="equal">
      <formula>"UP"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20" operator="equal">
      <formula>"S"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5" priority="21" operator="equal">
      <formula>"OC"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6" priority="22" operator="equal">
      <formula>"SPV"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7" priority="23" operator="equal">
      <formula>"INT"</formula>
    </cfRule>
  </conditionalFormatting>
  <conditionalFormatting sqref="B6:AF11 A10 B15:AF17 I22:I23 J22:O29 Q22:Z29 B23:G29 H23:H26 P23:P29 AA23:AF29 I25:I29 H28:H29 K34:P40 Q34:Q38 S34:AB37 T39:W40 J40 E51:U55">
    <cfRule type="cellIs" dxfId="8" priority="24" operator="equal">
      <formula>"T"</formula>
    </cfRule>
  </conditionalFormatting>
  <conditionalFormatting sqref="C33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91" t="s">
        <v>143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92"/>
      <c r="AG3" s="4"/>
      <c r="AH3" s="4"/>
      <c r="AI3" s="4"/>
      <c r="AJ3" s="4"/>
      <c r="AK3" s="4"/>
    </row>
    <row r="4">
      <c r="A4" s="6"/>
      <c r="B4" s="10" t="s">
        <v>8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2</v>
      </c>
      <c r="K4" s="10" t="s">
        <v>3</v>
      </c>
      <c r="L4" s="10" t="s">
        <v>4</v>
      </c>
      <c r="M4" s="10" t="s">
        <v>5</v>
      </c>
      <c r="N4" s="10" t="s">
        <v>6</v>
      </c>
      <c r="O4" s="10" t="s">
        <v>7</v>
      </c>
      <c r="P4" s="10" t="s">
        <v>8</v>
      </c>
      <c r="Q4" s="10" t="s">
        <v>2</v>
      </c>
      <c r="R4" s="10" t="s">
        <v>3</v>
      </c>
      <c r="S4" s="10" t="s">
        <v>4</v>
      </c>
      <c r="T4" s="10" t="s">
        <v>5</v>
      </c>
      <c r="U4" s="10" t="s">
        <v>6</v>
      </c>
      <c r="V4" s="10" t="s">
        <v>7</v>
      </c>
      <c r="W4" s="10" t="s">
        <v>8</v>
      </c>
      <c r="X4" s="10" t="s">
        <v>2</v>
      </c>
      <c r="Y4" s="13" t="s">
        <v>3</v>
      </c>
      <c r="Z4" s="10" t="s">
        <v>4</v>
      </c>
      <c r="AA4" s="10" t="s">
        <v>5</v>
      </c>
      <c r="AB4" s="10" t="s">
        <v>6</v>
      </c>
      <c r="AC4" s="10" t="s">
        <v>7</v>
      </c>
      <c r="AD4" s="13" t="s">
        <v>8</v>
      </c>
      <c r="AE4" s="13" t="s">
        <v>2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/>
      <c r="AE5" s="13"/>
      <c r="AF5" s="13"/>
      <c r="AG5" s="44" t="s">
        <v>38</v>
      </c>
      <c r="AH5" s="45" t="s">
        <v>39</v>
      </c>
      <c r="AI5" s="46" t="s">
        <v>40</v>
      </c>
      <c r="AJ5" s="48" t="s">
        <v>42</v>
      </c>
      <c r="AK5" s="54" t="s">
        <v>76</v>
      </c>
    </row>
    <row r="6">
      <c r="A6" s="19" t="s">
        <v>137</v>
      </c>
      <c r="B6" s="71" t="s">
        <v>63</v>
      </c>
      <c r="C6" s="71" t="s">
        <v>63</v>
      </c>
      <c r="D6" s="71" t="s">
        <v>65</v>
      </c>
      <c r="E6" s="71" t="s">
        <v>65</v>
      </c>
      <c r="F6" s="71" t="s">
        <v>40</v>
      </c>
      <c r="G6" s="71" t="s">
        <v>40</v>
      </c>
      <c r="H6" s="71" t="s">
        <v>39</v>
      </c>
      <c r="I6" s="71" t="s">
        <v>39</v>
      </c>
      <c r="J6" s="71" t="s">
        <v>40</v>
      </c>
      <c r="K6" s="71" t="s">
        <v>40</v>
      </c>
      <c r="L6" s="71" t="s">
        <v>39</v>
      </c>
      <c r="M6" s="71" t="s">
        <v>39</v>
      </c>
      <c r="N6" s="71" t="s">
        <v>40</v>
      </c>
      <c r="O6" s="71" t="s">
        <v>40</v>
      </c>
      <c r="P6" s="71" t="s">
        <v>39</v>
      </c>
      <c r="Q6" s="71" t="s">
        <v>39</v>
      </c>
      <c r="R6" s="71" t="s">
        <v>40</v>
      </c>
      <c r="S6" s="71" t="s">
        <v>38</v>
      </c>
      <c r="T6" s="71" t="s">
        <v>38</v>
      </c>
      <c r="U6" s="71" t="s">
        <v>38</v>
      </c>
      <c r="V6" s="71" t="s">
        <v>40</v>
      </c>
      <c r="W6" s="71" t="s">
        <v>40</v>
      </c>
      <c r="X6" s="71" t="s">
        <v>38</v>
      </c>
      <c r="Y6" s="71" t="s">
        <v>38</v>
      </c>
      <c r="Z6" s="71" t="s">
        <v>40</v>
      </c>
      <c r="AA6" s="71" t="s">
        <v>40</v>
      </c>
      <c r="AB6" s="71" t="s">
        <v>40</v>
      </c>
      <c r="AC6" s="71" t="s">
        <v>38</v>
      </c>
      <c r="AD6" s="71"/>
      <c r="AE6" s="71"/>
      <c r="AF6" s="71"/>
      <c r="AG6" s="49">
        <f t="shared" ref="AG6:AG11" si="1">COUNTIF(B6:AF6,"D")</f>
        <v>6</v>
      </c>
      <c r="AH6" s="49">
        <f t="shared" ref="AH6:AH11" si="2">COUNTIF(B6:AF6,"N")</f>
        <v>6</v>
      </c>
      <c r="AI6" s="49">
        <f t="shared" ref="AI6:AI11" si="3">COUNTIF(B6:AF6,"X")</f>
        <v>12</v>
      </c>
      <c r="AJ6" s="49">
        <f t="shared" ref="AJ6:AJ11" si="4">AG6+AH6</f>
        <v>12</v>
      </c>
      <c r="AK6" s="84">
        <f t="shared" ref="AK6:AK11" si="5">(AJ6*12)/4.2</f>
        <v>34.28571429</v>
      </c>
    </row>
    <row r="7">
      <c r="A7" s="19" t="s">
        <v>43</v>
      </c>
      <c r="B7" s="69" t="s">
        <v>39</v>
      </c>
      <c r="C7" s="69" t="s">
        <v>39</v>
      </c>
      <c r="D7" s="69" t="s">
        <v>40</v>
      </c>
      <c r="E7" s="69" t="s">
        <v>40</v>
      </c>
      <c r="F7" s="69" t="s">
        <v>38</v>
      </c>
      <c r="G7" s="69" t="s">
        <v>38</v>
      </c>
      <c r="H7" s="69" t="s">
        <v>38</v>
      </c>
      <c r="I7" s="60" t="s">
        <v>40</v>
      </c>
      <c r="J7" s="60" t="s">
        <v>44</v>
      </c>
      <c r="K7" s="60" t="s">
        <v>44</v>
      </c>
      <c r="L7" s="60" t="s">
        <v>44</v>
      </c>
      <c r="M7" s="61" t="s">
        <v>44</v>
      </c>
      <c r="N7" s="61" t="s">
        <v>44</v>
      </c>
      <c r="O7" s="61" t="s">
        <v>40</v>
      </c>
      <c r="P7" s="70" t="s">
        <v>40</v>
      </c>
      <c r="Q7" s="70" t="s">
        <v>38</v>
      </c>
      <c r="R7" s="70" t="s">
        <v>38</v>
      </c>
      <c r="S7" s="70" t="s">
        <v>40</v>
      </c>
      <c r="T7" s="70" t="s">
        <v>40</v>
      </c>
      <c r="U7" s="70" t="s">
        <v>39</v>
      </c>
      <c r="V7" s="70" t="s">
        <v>39</v>
      </c>
      <c r="W7" s="71" t="s">
        <v>39</v>
      </c>
      <c r="X7" s="70" t="s">
        <v>40</v>
      </c>
      <c r="Y7" s="71" t="s">
        <v>40</v>
      </c>
      <c r="Z7" s="71" t="s">
        <v>39</v>
      </c>
      <c r="AA7" s="71" t="s">
        <v>39</v>
      </c>
      <c r="AB7" s="71" t="s">
        <v>40</v>
      </c>
      <c r="AC7" s="71" t="s">
        <v>39</v>
      </c>
      <c r="AD7" s="71"/>
      <c r="AE7" s="71"/>
      <c r="AF7" s="71"/>
      <c r="AG7" s="49">
        <f t="shared" si="1"/>
        <v>5</v>
      </c>
      <c r="AH7" s="49">
        <f t="shared" si="2"/>
        <v>8</v>
      </c>
      <c r="AI7" s="49">
        <f t="shared" si="3"/>
        <v>10</v>
      </c>
      <c r="AJ7" s="49">
        <f t="shared" si="4"/>
        <v>13</v>
      </c>
      <c r="AK7" s="84">
        <f t="shared" si="5"/>
        <v>37.14285714</v>
      </c>
    </row>
    <row r="8">
      <c r="A8" s="13" t="s">
        <v>138</v>
      </c>
      <c r="B8" s="69" t="s">
        <v>38</v>
      </c>
      <c r="C8" s="69" t="s">
        <v>38</v>
      </c>
      <c r="D8" s="69" t="s">
        <v>40</v>
      </c>
      <c r="E8" s="69" t="s">
        <v>40</v>
      </c>
      <c r="F8" s="69" t="s">
        <v>39</v>
      </c>
      <c r="G8" s="69" t="s">
        <v>39</v>
      </c>
      <c r="H8" s="69" t="s">
        <v>40</v>
      </c>
      <c r="I8" s="69" t="s">
        <v>40</v>
      </c>
      <c r="J8" s="69" t="s">
        <v>39</v>
      </c>
      <c r="K8" s="69" t="s">
        <v>39</v>
      </c>
      <c r="L8" s="69" t="s">
        <v>40</v>
      </c>
      <c r="M8" s="69" t="s">
        <v>40</v>
      </c>
      <c r="N8" s="69" t="s">
        <v>39</v>
      </c>
      <c r="O8" s="69" t="s">
        <v>39</v>
      </c>
      <c r="P8" s="60" t="s">
        <v>40</v>
      </c>
      <c r="Q8" s="60" t="s">
        <v>40</v>
      </c>
      <c r="R8" s="60" t="s">
        <v>39</v>
      </c>
      <c r="S8" s="60" t="s">
        <v>39</v>
      </c>
      <c r="T8" s="60" t="s">
        <v>39</v>
      </c>
      <c r="U8" s="61" t="s">
        <v>40</v>
      </c>
      <c r="V8" s="61" t="s">
        <v>38</v>
      </c>
      <c r="W8" s="70" t="s">
        <v>38</v>
      </c>
      <c r="X8" s="1" t="s">
        <v>40</v>
      </c>
      <c r="Y8" s="70" t="s">
        <v>40</v>
      </c>
      <c r="Z8" s="70" t="s">
        <v>38</v>
      </c>
      <c r="AA8" s="70" t="s">
        <v>38</v>
      </c>
      <c r="AB8" s="70" t="s">
        <v>38</v>
      </c>
      <c r="AC8" s="70" t="s">
        <v>40</v>
      </c>
      <c r="AD8" s="70"/>
      <c r="AE8" s="70"/>
      <c r="AF8" s="70"/>
      <c r="AG8" s="49">
        <f t="shared" si="1"/>
        <v>7</v>
      </c>
      <c r="AH8" s="49">
        <f t="shared" si="2"/>
        <v>9</v>
      </c>
      <c r="AI8" s="49">
        <f t="shared" si="3"/>
        <v>12</v>
      </c>
      <c r="AJ8" s="49">
        <f t="shared" si="4"/>
        <v>16</v>
      </c>
      <c r="AK8" s="84">
        <f t="shared" si="5"/>
        <v>45.71428571</v>
      </c>
    </row>
    <row r="9">
      <c r="A9" s="13" t="s">
        <v>48</v>
      </c>
      <c r="B9" s="60" t="s">
        <v>40</v>
      </c>
      <c r="C9" s="60" t="s">
        <v>40</v>
      </c>
      <c r="D9" s="60" t="s">
        <v>38</v>
      </c>
      <c r="E9" s="60" t="s">
        <v>38</v>
      </c>
      <c r="F9" s="60" t="s">
        <v>40</v>
      </c>
      <c r="G9" s="61" t="s">
        <v>40</v>
      </c>
      <c r="H9" s="61" t="s">
        <v>40</v>
      </c>
      <c r="I9" s="70" t="s">
        <v>38</v>
      </c>
      <c r="J9" s="70" t="s">
        <v>38</v>
      </c>
      <c r="K9" s="70" t="s">
        <v>38</v>
      </c>
      <c r="L9" s="70" t="s">
        <v>40</v>
      </c>
      <c r="M9" s="70" t="s">
        <v>38</v>
      </c>
      <c r="N9" s="70" t="s">
        <v>38</v>
      </c>
      <c r="O9" s="70" t="s">
        <v>40</v>
      </c>
      <c r="P9" s="70" t="s">
        <v>38</v>
      </c>
      <c r="Q9" s="70" t="s">
        <v>44</v>
      </c>
      <c r="R9" s="70" t="s">
        <v>44</v>
      </c>
      <c r="S9" s="70" t="s">
        <v>44</v>
      </c>
      <c r="T9" s="70" t="s">
        <v>44</v>
      </c>
      <c r="U9" s="70" t="s">
        <v>44</v>
      </c>
      <c r="V9" s="70" t="s">
        <v>40</v>
      </c>
      <c r="W9" s="60" t="s">
        <v>40</v>
      </c>
      <c r="X9" s="60" t="s">
        <v>39</v>
      </c>
      <c r="Y9" s="60" t="s">
        <v>39</v>
      </c>
      <c r="Z9" s="60" t="s">
        <v>40</v>
      </c>
      <c r="AA9" s="60" t="s">
        <v>40</v>
      </c>
      <c r="AB9" s="61" t="s">
        <v>39</v>
      </c>
      <c r="AC9" s="61" t="s">
        <v>68</v>
      </c>
      <c r="AD9" s="61"/>
      <c r="AE9" s="61"/>
      <c r="AF9" s="61"/>
      <c r="AG9" s="49">
        <f t="shared" si="1"/>
        <v>8</v>
      </c>
      <c r="AH9" s="49">
        <f t="shared" si="2"/>
        <v>3</v>
      </c>
      <c r="AI9" s="49">
        <f t="shared" si="3"/>
        <v>11</v>
      </c>
      <c r="AJ9" s="49">
        <f t="shared" si="4"/>
        <v>11</v>
      </c>
      <c r="AK9" s="84">
        <f t="shared" si="5"/>
        <v>31.42857143</v>
      </c>
    </row>
    <row r="10">
      <c r="A10" s="88" t="s">
        <v>47</v>
      </c>
      <c r="B10" s="69" t="s">
        <v>40</v>
      </c>
      <c r="C10" s="69" t="s">
        <v>41</v>
      </c>
      <c r="D10" s="69" t="s">
        <v>39</v>
      </c>
      <c r="E10" s="69" t="s">
        <v>39</v>
      </c>
      <c r="F10" s="69" t="s">
        <v>40</v>
      </c>
      <c r="G10" s="69" t="s">
        <v>41</v>
      </c>
      <c r="H10" s="69" t="s">
        <v>40</v>
      </c>
      <c r="I10" s="69" t="s">
        <v>40</v>
      </c>
      <c r="J10" s="69" t="s">
        <v>41</v>
      </c>
      <c r="K10" s="69" t="s">
        <v>44</v>
      </c>
      <c r="L10" s="69" t="s">
        <v>38</v>
      </c>
      <c r="M10" s="69" t="s">
        <v>41</v>
      </c>
      <c r="N10" s="69" t="s">
        <v>41</v>
      </c>
      <c r="O10" s="69" t="s">
        <v>38</v>
      </c>
      <c r="P10" s="69" t="s">
        <v>40</v>
      </c>
      <c r="Q10" s="69" t="s">
        <v>40</v>
      </c>
      <c r="R10" s="69" t="s">
        <v>41</v>
      </c>
      <c r="S10" s="69" t="s">
        <v>68</v>
      </c>
      <c r="T10" s="69" t="s">
        <v>68</v>
      </c>
      <c r="U10" s="69" t="s">
        <v>68</v>
      </c>
      <c r="V10" s="69" t="s">
        <v>40</v>
      </c>
      <c r="W10" s="70" t="s">
        <v>40</v>
      </c>
      <c r="X10" s="70" t="s">
        <v>41</v>
      </c>
      <c r="Y10" s="70" t="s">
        <v>41</v>
      </c>
      <c r="Z10" s="70" t="s">
        <v>68</v>
      </c>
      <c r="AA10" s="70" t="s">
        <v>41</v>
      </c>
      <c r="AB10" s="70" t="s">
        <v>68</v>
      </c>
      <c r="AC10" s="70" t="s">
        <v>40</v>
      </c>
      <c r="AD10" s="70"/>
      <c r="AE10" s="70"/>
      <c r="AF10" s="70"/>
      <c r="AG10" s="49">
        <f t="shared" si="1"/>
        <v>2</v>
      </c>
      <c r="AH10" s="49">
        <f t="shared" si="2"/>
        <v>2</v>
      </c>
      <c r="AI10" s="49">
        <f t="shared" si="3"/>
        <v>9</v>
      </c>
      <c r="AJ10" s="49">
        <f t="shared" si="4"/>
        <v>4</v>
      </c>
      <c r="AK10" s="84">
        <f t="shared" si="5"/>
        <v>11.42857143</v>
      </c>
    </row>
    <row r="11">
      <c r="A11" s="13" t="s">
        <v>84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  <c r="X11" s="70" t="s">
        <v>44</v>
      </c>
      <c r="Y11" s="70" t="s">
        <v>44</v>
      </c>
      <c r="Z11" s="70" t="s">
        <v>44</v>
      </c>
      <c r="AA11" s="70" t="s">
        <v>44</v>
      </c>
      <c r="AB11" s="70" t="s">
        <v>44</v>
      </c>
      <c r="AC11" s="70" t="s">
        <v>40</v>
      </c>
      <c r="AD11" s="70"/>
      <c r="AE11" s="70"/>
      <c r="AF11" s="70"/>
      <c r="AG11" s="49">
        <f t="shared" si="1"/>
        <v>0</v>
      </c>
      <c r="AH11" s="49">
        <f t="shared" si="2"/>
        <v>0</v>
      </c>
      <c r="AI11" s="49">
        <f t="shared" si="3"/>
        <v>1</v>
      </c>
      <c r="AJ11" s="49">
        <f t="shared" si="4"/>
        <v>0</v>
      </c>
      <c r="AK11" s="84">
        <f t="shared" si="5"/>
        <v>0</v>
      </c>
    </row>
    <row r="12">
      <c r="A12" s="23" t="s">
        <v>49</v>
      </c>
      <c r="B12" s="24">
        <f t="shared" ref="B12:AF12" si="6">COUNTIF(B6:B11,"D")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1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1</v>
      </c>
      <c r="AB12" s="24">
        <f t="shared" si="6"/>
        <v>1</v>
      </c>
      <c r="AC12" s="24">
        <f t="shared" si="6"/>
        <v>1</v>
      </c>
      <c r="AD12" s="24">
        <f t="shared" si="6"/>
        <v>0</v>
      </c>
      <c r="AE12" s="24">
        <f t="shared" si="6"/>
        <v>0</v>
      </c>
      <c r="AF12" s="24">
        <f t="shared" si="6"/>
        <v>0</v>
      </c>
      <c r="AJ12" s="49"/>
    </row>
    <row r="13">
      <c r="A13" s="26" t="s">
        <v>50</v>
      </c>
      <c r="B13" s="27">
        <f t="shared" ref="B13:AF13" si="7">COUNTIF(B6:B11,"N")</f>
        <v>1</v>
      </c>
      <c r="C13" s="27">
        <f t="shared" si="7"/>
        <v>1</v>
      </c>
      <c r="D13" s="27">
        <f t="shared" si="7"/>
        <v>1</v>
      </c>
      <c r="E13" s="27">
        <f t="shared" si="7"/>
        <v>1</v>
      </c>
      <c r="F13" s="27">
        <f t="shared" si="7"/>
        <v>1</v>
      </c>
      <c r="G13" s="27">
        <f t="shared" si="7"/>
        <v>1</v>
      </c>
      <c r="H13" s="27">
        <f t="shared" si="7"/>
        <v>1</v>
      </c>
      <c r="I13" s="27">
        <f t="shared" si="7"/>
        <v>1</v>
      </c>
      <c r="J13" s="27">
        <f t="shared" si="7"/>
        <v>1</v>
      </c>
      <c r="K13" s="27">
        <f t="shared" si="7"/>
        <v>1</v>
      </c>
      <c r="L13" s="27">
        <f t="shared" si="7"/>
        <v>1</v>
      </c>
      <c r="M13" s="27">
        <f t="shared" si="7"/>
        <v>1</v>
      </c>
      <c r="N13" s="27">
        <f t="shared" si="7"/>
        <v>1</v>
      </c>
      <c r="O13" s="27">
        <f t="shared" si="7"/>
        <v>1</v>
      </c>
      <c r="P13" s="27">
        <f t="shared" si="7"/>
        <v>1</v>
      </c>
      <c r="Q13" s="27">
        <f t="shared" si="7"/>
        <v>1</v>
      </c>
      <c r="R13" s="27">
        <f t="shared" si="7"/>
        <v>1</v>
      </c>
      <c r="S13" s="27">
        <f t="shared" si="7"/>
        <v>1</v>
      </c>
      <c r="T13" s="27">
        <f t="shared" si="7"/>
        <v>1</v>
      </c>
      <c r="U13" s="27">
        <f t="shared" si="7"/>
        <v>1</v>
      </c>
      <c r="V13" s="27">
        <f t="shared" si="7"/>
        <v>1</v>
      </c>
      <c r="W13" s="27">
        <f t="shared" si="7"/>
        <v>1</v>
      </c>
      <c r="X13" s="27">
        <f t="shared" si="7"/>
        <v>1</v>
      </c>
      <c r="Y13" s="27">
        <f t="shared" si="7"/>
        <v>1</v>
      </c>
      <c r="Z13" s="27">
        <f t="shared" si="7"/>
        <v>1</v>
      </c>
      <c r="AA13" s="27">
        <f t="shared" si="7"/>
        <v>1</v>
      </c>
      <c r="AB13" s="27">
        <f t="shared" si="7"/>
        <v>1</v>
      </c>
      <c r="AC13" s="27">
        <f t="shared" si="7"/>
        <v>1</v>
      </c>
      <c r="AD13" s="27">
        <f t="shared" si="7"/>
        <v>0</v>
      </c>
      <c r="AE13" s="27">
        <f t="shared" si="7"/>
        <v>0</v>
      </c>
      <c r="AF13" s="27">
        <f t="shared" si="7"/>
        <v>0</v>
      </c>
    </row>
    <row r="14">
      <c r="B14" s="85" t="s">
        <v>120</v>
      </c>
      <c r="AG14" s="44" t="s">
        <v>38</v>
      </c>
      <c r="AH14" s="45" t="s">
        <v>39</v>
      </c>
      <c r="AI14" s="46" t="s">
        <v>40</v>
      </c>
      <c r="AJ14" s="48" t="s">
        <v>42</v>
      </c>
      <c r="AK14" s="54" t="s">
        <v>76</v>
      </c>
    </row>
    <row r="15">
      <c r="A15" s="13" t="s">
        <v>104</v>
      </c>
      <c r="B15" s="69" t="s">
        <v>40</v>
      </c>
      <c r="C15" s="69" t="s">
        <v>38</v>
      </c>
      <c r="D15" s="69" t="s">
        <v>38</v>
      </c>
      <c r="E15" s="69" t="s">
        <v>38</v>
      </c>
      <c r="F15" s="69" t="s">
        <v>38</v>
      </c>
      <c r="G15" s="69" t="s">
        <v>60</v>
      </c>
      <c r="H15" s="69" t="s">
        <v>40</v>
      </c>
      <c r="I15" s="69" t="s">
        <v>40</v>
      </c>
      <c r="J15" s="69" t="s">
        <v>38</v>
      </c>
      <c r="K15" s="69" t="s">
        <v>38</v>
      </c>
      <c r="L15" s="69" t="s">
        <v>38</v>
      </c>
      <c r="M15" s="69" t="s">
        <v>38</v>
      </c>
      <c r="N15" s="69" t="s">
        <v>38</v>
      </c>
      <c r="O15" s="69" t="s">
        <v>40</v>
      </c>
      <c r="P15" s="69" t="s">
        <v>40</v>
      </c>
      <c r="Q15" s="69" t="s">
        <v>39</v>
      </c>
      <c r="R15" s="69" t="s">
        <v>39</v>
      </c>
      <c r="S15" s="69" t="s">
        <v>39</v>
      </c>
      <c r="T15" s="69" t="s">
        <v>39</v>
      </c>
      <c r="U15" s="69" t="s">
        <v>39</v>
      </c>
      <c r="V15" s="69" t="s">
        <v>40</v>
      </c>
      <c r="W15" s="69" t="s">
        <v>40</v>
      </c>
      <c r="X15" s="69" t="s">
        <v>39</v>
      </c>
      <c r="Y15" s="69" t="s">
        <v>39</v>
      </c>
      <c r="Z15" s="69" t="s">
        <v>39</v>
      </c>
      <c r="AA15" s="69" t="s">
        <v>40</v>
      </c>
      <c r="AB15" s="69" t="s">
        <v>38</v>
      </c>
      <c r="AC15" s="69" t="s">
        <v>38</v>
      </c>
      <c r="AD15" s="69" t="s">
        <v>38</v>
      </c>
      <c r="AE15" s="69" t="s">
        <v>38</v>
      </c>
      <c r="AF15" s="69"/>
      <c r="AG15" s="49">
        <f t="shared" ref="AG15:AG17" si="8">COUNTIF(B15:AF15,"D")</f>
        <v>13</v>
      </c>
      <c r="AH15" s="49">
        <f t="shared" ref="AH15:AH17" si="9">COUNTIF(B15:AF15,"N")</f>
        <v>8</v>
      </c>
      <c r="AI15" s="49">
        <f t="shared" ref="AI15:AI17" si="10">COUNTIF(B15:AF15,"X")</f>
        <v>8</v>
      </c>
      <c r="AJ15" s="49">
        <f t="shared" ref="AJ15:AJ17" si="11">AG15+AH15</f>
        <v>21</v>
      </c>
      <c r="AK15" s="84">
        <f t="shared" ref="AK15:AK17" si="12">(AJ15*10)/4</f>
        <v>52.5</v>
      </c>
    </row>
    <row r="16">
      <c r="A16" s="13" t="s">
        <v>121</v>
      </c>
      <c r="B16" s="69" t="s">
        <v>40</v>
      </c>
      <c r="C16" s="69" t="s">
        <v>39</v>
      </c>
      <c r="D16" s="69" t="s">
        <v>39</v>
      </c>
      <c r="E16" s="69" t="s">
        <v>39</v>
      </c>
      <c r="F16" s="69" t="s">
        <v>39</v>
      </c>
      <c r="G16" s="69" t="s">
        <v>39</v>
      </c>
      <c r="H16" s="69" t="s">
        <v>40</v>
      </c>
      <c r="I16" s="69" t="s">
        <v>40</v>
      </c>
      <c r="J16" s="69" t="s">
        <v>39</v>
      </c>
      <c r="K16" s="69" t="s">
        <v>39</v>
      </c>
      <c r="L16" s="69" t="s">
        <v>39</v>
      </c>
      <c r="M16" s="69" t="s">
        <v>39</v>
      </c>
      <c r="N16" s="69" t="s">
        <v>44</v>
      </c>
      <c r="O16" s="69" t="s">
        <v>40</v>
      </c>
      <c r="P16" s="69" t="s">
        <v>40</v>
      </c>
      <c r="Q16" s="69" t="s">
        <v>38</v>
      </c>
      <c r="R16" s="69" t="s">
        <v>38</v>
      </c>
      <c r="S16" s="69" t="s">
        <v>38</v>
      </c>
      <c r="T16" s="69" t="s">
        <v>38</v>
      </c>
      <c r="U16" s="69" t="s">
        <v>38</v>
      </c>
      <c r="V16" s="69" t="s">
        <v>40</v>
      </c>
      <c r="W16" s="69" t="s">
        <v>40</v>
      </c>
      <c r="X16" s="69" t="s">
        <v>38</v>
      </c>
      <c r="Y16" s="69" t="s">
        <v>38</v>
      </c>
      <c r="Z16" s="69" t="s">
        <v>38</v>
      </c>
      <c r="AA16" s="69" t="s">
        <v>38</v>
      </c>
      <c r="AB16" s="69" t="s">
        <v>38</v>
      </c>
      <c r="AC16" s="69" t="s">
        <v>40</v>
      </c>
      <c r="AD16" s="69" t="s">
        <v>40</v>
      </c>
      <c r="AE16" s="69" t="s">
        <v>39</v>
      </c>
      <c r="AF16" s="69"/>
      <c r="AG16" s="49">
        <f t="shared" si="8"/>
        <v>10</v>
      </c>
      <c r="AH16" s="49">
        <f t="shared" si="9"/>
        <v>10</v>
      </c>
      <c r="AI16" s="49">
        <f t="shared" si="10"/>
        <v>9</v>
      </c>
      <c r="AJ16" s="49">
        <f t="shared" si="11"/>
        <v>20</v>
      </c>
      <c r="AK16" s="84">
        <f t="shared" si="12"/>
        <v>50</v>
      </c>
    </row>
    <row r="17">
      <c r="A17" s="13" t="s">
        <v>141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49">
        <f t="shared" si="8"/>
        <v>0</v>
      </c>
      <c r="AH17" s="49">
        <f t="shared" si="9"/>
        <v>0</v>
      </c>
      <c r="AI17" s="49">
        <f t="shared" si="10"/>
        <v>0</v>
      </c>
      <c r="AJ17" s="49">
        <f t="shared" si="11"/>
        <v>0</v>
      </c>
      <c r="AK17" s="84">
        <f t="shared" si="12"/>
        <v>0</v>
      </c>
    </row>
    <row r="18">
      <c r="A18" s="23" t="s">
        <v>49</v>
      </c>
      <c r="B18" s="24">
        <f t="shared" ref="B18:AF18" si="13">COUNTIF(B15:B17,"D")</f>
        <v>0</v>
      </c>
      <c r="C18" s="24">
        <f t="shared" si="13"/>
        <v>1</v>
      </c>
      <c r="D18" s="24">
        <f t="shared" si="13"/>
        <v>1</v>
      </c>
      <c r="E18" s="24">
        <f t="shared" si="13"/>
        <v>1</v>
      </c>
      <c r="F18" s="24">
        <f t="shared" si="13"/>
        <v>1</v>
      </c>
      <c r="G18" s="24">
        <f t="shared" si="13"/>
        <v>0</v>
      </c>
      <c r="H18" s="24">
        <f t="shared" si="13"/>
        <v>0</v>
      </c>
      <c r="I18" s="24">
        <f t="shared" si="13"/>
        <v>0</v>
      </c>
      <c r="J18" s="24">
        <f t="shared" si="13"/>
        <v>1</v>
      </c>
      <c r="K18" s="24">
        <f t="shared" si="13"/>
        <v>1</v>
      </c>
      <c r="L18" s="24">
        <f t="shared" si="13"/>
        <v>1</v>
      </c>
      <c r="M18" s="24">
        <f t="shared" si="13"/>
        <v>1</v>
      </c>
      <c r="N18" s="24">
        <f t="shared" si="13"/>
        <v>1</v>
      </c>
      <c r="O18" s="24">
        <f t="shared" si="13"/>
        <v>0</v>
      </c>
      <c r="P18" s="24">
        <f t="shared" si="13"/>
        <v>0</v>
      </c>
      <c r="Q18" s="24">
        <f t="shared" si="13"/>
        <v>1</v>
      </c>
      <c r="R18" s="24">
        <f t="shared" si="13"/>
        <v>1</v>
      </c>
      <c r="S18" s="24">
        <f t="shared" si="13"/>
        <v>1</v>
      </c>
      <c r="T18" s="24">
        <f t="shared" si="13"/>
        <v>1</v>
      </c>
      <c r="U18" s="24">
        <f t="shared" si="13"/>
        <v>1</v>
      </c>
      <c r="V18" s="24">
        <f t="shared" si="13"/>
        <v>0</v>
      </c>
      <c r="W18" s="24">
        <f t="shared" si="13"/>
        <v>0</v>
      </c>
      <c r="X18" s="24">
        <f t="shared" si="13"/>
        <v>1</v>
      </c>
      <c r="Y18" s="24">
        <f t="shared" si="13"/>
        <v>1</v>
      </c>
      <c r="Z18" s="24">
        <f t="shared" si="13"/>
        <v>1</v>
      </c>
      <c r="AA18" s="24">
        <f t="shared" si="13"/>
        <v>1</v>
      </c>
      <c r="AB18" s="24">
        <f t="shared" si="13"/>
        <v>2</v>
      </c>
      <c r="AC18" s="24">
        <f t="shared" si="13"/>
        <v>1</v>
      </c>
      <c r="AD18" s="24">
        <f t="shared" si="13"/>
        <v>1</v>
      </c>
      <c r="AE18" s="24">
        <f t="shared" si="13"/>
        <v>1</v>
      </c>
      <c r="AF18" s="24">
        <f t="shared" si="13"/>
        <v>0</v>
      </c>
      <c r="AG18" s="53"/>
      <c r="AH18" s="53"/>
      <c r="AI18" s="53"/>
      <c r="AJ18" s="53"/>
      <c r="AK18" s="53"/>
    </row>
    <row r="19">
      <c r="A19" s="26" t="s">
        <v>50</v>
      </c>
      <c r="B19" s="27">
        <f t="shared" ref="B19:AF19" si="14">COUNTIF(B15:B17,"N")</f>
        <v>0</v>
      </c>
      <c r="C19" s="27">
        <f t="shared" si="14"/>
        <v>1</v>
      </c>
      <c r="D19" s="27">
        <f t="shared" si="14"/>
        <v>1</v>
      </c>
      <c r="E19" s="27">
        <f t="shared" si="14"/>
        <v>1</v>
      </c>
      <c r="F19" s="27">
        <f t="shared" si="14"/>
        <v>1</v>
      </c>
      <c r="G19" s="27">
        <f t="shared" si="14"/>
        <v>1</v>
      </c>
      <c r="H19" s="27">
        <f t="shared" si="14"/>
        <v>0</v>
      </c>
      <c r="I19" s="27">
        <f t="shared" si="14"/>
        <v>0</v>
      </c>
      <c r="J19" s="27">
        <f t="shared" si="14"/>
        <v>1</v>
      </c>
      <c r="K19" s="27">
        <f t="shared" si="14"/>
        <v>1</v>
      </c>
      <c r="L19" s="27">
        <f t="shared" si="14"/>
        <v>1</v>
      </c>
      <c r="M19" s="27">
        <f t="shared" si="14"/>
        <v>1</v>
      </c>
      <c r="N19" s="27">
        <f t="shared" si="14"/>
        <v>0</v>
      </c>
      <c r="O19" s="27">
        <f t="shared" si="14"/>
        <v>0</v>
      </c>
      <c r="P19" s="27">
        <f t="shared" si="14"/>
        <v>0</v>
      </c>
      <c r="Q19" s="27">
        <f t="shared" si="14"/>
        <v>1</v>
      </c>
      <c r="R19" s="27">
        <f t="shared" si="14"/>
        <v>1</v>
      </c>
      <c r="S19" s="27">
        <f t="shared" si="14"/>
        <v>1</v>
      </c>
      <c r="T19" s="27">
        <f t="shared" si="14"/>
        <v>1</v>
      </c>
      <c r="U19" s="27">
        <f t="shared" si="14"/>
        <v>1</v>
      </c>
      <c r="V19" s="27">
        <f t="shared" si="14"/>
        <v>0</v>
      </c>
      <c r="W19" s="27">
        <f t="shared" si="14"/>
        <v>0</v>
      </c>
      <c r="X19" s="27">
        <f t="shared" si="14"/>
        <v>1</v>
      </c>
      <c r="Y19" s="27">
        <f t="shared" si="14"/>
        <v>1</v>
      </c>
      <c r="Z19" s="27">
        <f t="shared" si="14"/>
        <v>1</v>
      </c>
      <c r="AA19" s="27">
        <f t="shared" si="14"/>
        <v>0</v>
      </c>
      <c r="AB19" s="27">
        <f t="shared" si="14"/>
        <v>0</v>
      </c>
      <c r="AC19" s="27">
        <f t="shared" si="14"/>
        <v>0</v>
      </c>
      <c r="AD19" s="27">
        <f t="shared" si="14"/>
        <v>0</v>
      </c>
      <c r="AE19" s="27">
        <f t="shared" si="14"/>
        <v>1</v>
      </c>
      <c r="AF19" s="27">
        <f t="shared" si="14"/>
        <v>0</v>
      </c>
      <c r="AG19" s="22"/>
      <c r="AH19" s="22"/>
      <c r="AI19" s="22"/>
      <c r="AJ19" s="22"/>
      <c r="AK19" s="22"/>
    </row>
    <row r="20">
      <c r="I20" s="28"/>
      <c r="J20" s="11"/>
      <c r="K20" s="68"/>
      <c r="L20" s="68"/>
      <c r="M20" s="68"/>
      <c r="N20" s="68"/>
      <c r="O20" s="68"/>
      <c r="P20" s="68"/>
      <c r="Q20" s="68"/>
      <c r="R20" s="11"/>
      <c r="S20" s="11"/>
      <c r="T20" s="11"/>
      <c r="U20" s="11"/>
      <c r="V20" s="43" t="s">
        <v>0</v>
      </c>
      <c r="W20" s="11"/>
      <c r="AG20" s="22"/>
      <c r="AH20" s="22"/>
      <c r="AI20" s="22"/>
      <c r="AJ20" s="22"/>
      <c r="AK20" s="22"/>
    </row>
    <row r="22">
      <c r="A22" s="6"/>
      <c r="B22" s="11"/>
      <c r="C22" s="29" t="s">
        <v>51</v>
      </c>
      <c r="D22" s="30"/>
      <c r="E22" s="30"/>
      <c r="F22" s="31"/>
      <c r="H22" s="13"/>
      <c r="I22" s="71"/>
      <c r="J22" s="71"/>
      <c r="K22" s="71"/>
      <c r="L22" s="71"/>
      <c r="M22" s="71"/>
      <c r="N22" s="71"/>
      <c r="O22" s="71"/>
      <c r="P22" s="19"/>
      <c r="Q22" s="70"/>
      <c r="R22" s="70"/>
      <c r="S22" s="70"/>
      <c r="T22" s="71"/>
      <c r="U22" s="71"/>
      <c r="V22" s="71"/>
      <c r="W22" s="71"/>
      <c r="X22" s="71"/>
      <c r="Y22" s="71"/>
      <c r="Z22" s="71"/>
    </row>
    <row r="23">
      <c r="A23" s="6"/>
      <c r="B23" s="87"/>
      <c r="C23" s="33" t="s">
        <v>38</v>
      </c>
      <c r="D23" s="1" t="s">
        <v>52</v>
      </c>
      <c r="F23" s="34"/>
      <c r="I23" s="70"/>
      <c r="J23" s="70"/>
      <c r="K23" s="70"/>
      <c r="L23" s="70"/>
      <c r="M23" s="70"/>
      <c r="N23" s="70"/>
      <c r="O23" s="70"/>
      <c r="P23" s="13"/>
      <c r="Q23" s="60"/>
      <c r="R23" s="61"/>
      <c r="S23" s="61"/>
      <c r="T23" s="70"/>
      <c r="U23" s="70"/>
      <c r="V23" s="70"/>
      <c r="W23" s="70"/>
      <c r="X23" s="70"/>
      <c r="Y23" s="70"/>
      <c r="Z23" s="70"/>
      <c r="AD23" s="86"/>
      <c r="AE23" s="86"/>
      <c r="AF23" s="86"/>
      <c r="AG23" s="94"/>
      <c r="AH23" s="94"/>
      <c r="AI23" s="94"/>
      <c r="AJ23" s="94"/>
      <c r="AK23" s="94"/>
    </row>
    <row r="24">
      <c r="A24" s="12"/>
      <c r="B24" s="87"/>
      <c r="C24" s="33" t="s">
        <v>39</v>
      </c>
      <c r="D24" s="1" t="s">
        <v>53</v>
      </c>
      <c r="F24" s="34"/>
      <c r="H24" s="19"/>
      <c r="I24" s="13"/>
      <c r="J24" s="60"/>
      <c r="K24" s="61"/>
      <c r="L24" s="61"/>
      <c r="M24" s="61"/>
      <c r="N24" s="61"/>
      <c r="O24" s="61"/>
      <c r="P24" s="13"/>
      <c r="Q24" s="70"/>
      <c r="R24" s="70"/>
      <c r="S24" s="70"/>
      <c r="T24" s="60"/>
      <c r="U24" s="60"/>
      <c r="V24" s="60"/>
      <c r="W24" s="60"/>
      <c r="X24" s="60"/>
      <c r="Y24" s="61"/>
      <c r="Z24" s="61"/>
      <c r="AD24" s="87"/>
      <c r="AE24" s="87"/>
      <c r="AF24" s="87"/>
      <c r="AG24" s="87"/>
      <c r="AH24" s="87"/>
      <c r="AI24" s="87"/>
      <c r="AJ24" s="87"/>
      <c r="AK24" s="87"/>
    </row>
    <row r="25">
      <c r="B25" s="71"/>
      <c r="C25" s="33" t="s">
        <v>41</v>
      </c>
      <c r="D25" s="1" t="s">
        <v>54</v>
      </c>
      <c r="F25" s="34"/>
      <c r="H25" s="13"/>
      <c r="I25" s="70"/>
      <c r="J25" s="70"/>
      <c r="K25" s="70"/>
      <c r="L25" s="70"/>
      <c r="M25" s="70"/>
      <c r="N25" s="70"/>
      <c r="O25" s="70"/>
      <c r="P25" s="13"/>
      <c r="Q25" s="69"/>
      <c r="R25" s="69"/>
      <c r="S25" s="69"/>
      <c r="T25" s="70"/>
      <c r="U25" s="70"/>
      <c r="V25" s="88"/>
      <c r="W25" s="88"/>
      <c r="X25" s="70"/>
      <c r="Y25" s="70"/>
      <c r="Z25" s="70"/>
      <c r="AD25" s="71"/>
      <c r="AE25" s="71"/>
      <c r="AF25" s="71"/>
      <c r="AG25" s="95"/>
      <c r="AH25" s="95"/>
      <c r="AI25" s="95"/>
      <c r="AJ25" s="95"/>
      <c r="AK25" s="96"/>
    </row>
    <row r="26">
      <c r="A26" s="97"/>
      <c r="B26" s="69"/>
      <c r="C26" s="33" t="s">
        <v>55</v>
      </c>
      <c r="D26" s="1" t="s">
        <v>56</v>
      </c>
      <c r="F26" s="34"/>
      <c r="G26" s="72"/>
      <c r="H26" s="13"/>
      <c r="I26" s="70"/>
      <c r="J26" s="70"/>
      <c r="K26" s="70"/>
      <c r="L26" s="70"/>
      <c r="M26" s="70"/>
      <c r="N26" s="70"/>
      <c r="O26" s="70"/>
      <c r="P26" s="13"/>
      <c r="R26" s="20"/>
      <c r="S26" s="20"/>
      <c r="T26" s="20"/>
      <c r="U26" s="20"/>
      <c r="V26" s="13"/>
      <c r="AD26" s="71"/>
      <c r="AE26" s="71"/>
      <c r="AF26" s="71"/>
      <c r="AG26" s="98"/>
      <c r="AH26" s="98"/>
      <c r="AI26" s="98"/>
      <c r="AJ26" s="98"/>
      <c r="AK26" s="99"/>
    </row>
    <row r="27">
      <c r="A27" s="97"/>
      <c r="B27" s="69"/>
      <c r="C27" s="33" t="s">
        <v>40</v>
      </c>
      <c r="D27" s="1" t="s">
        <v>57</v>
      </c>
      <c r="F27" s="34"/>
      <c r="G27" s="20"/>
      <c r="H27" s="13"/>
      <c r="I27" s="25"/>
      <c r="J27" s="25"/>
      <c r="K27" s="25"/>
      <c r="L27" s="25"/>
      <c r="M27" s="25"/>
      <c r="N27" s="25"/>
      <c r="O27" s="25"/>
      <c r="R27" s="20"/>
      <c r="S27" s="20"/>
      <c r="T27" s="20"/>
      <c r="U27" s="20"/>
      <c r="V27" s="89"/>
      <c r="AD27" s="70"/>
      <c r="AE27" s="70"/>
      <c r="AF27" s="70"/>
      <c r="AG27" s="98"/>
      <c r="AH27" s="98"/>
      <c r="AI27" s="98"/>
      <c r="AJ27" s="98"/>
      <c r="AK27" s="99"/>
    </row>
    <row r="28">
      <c r="A28" s="87"/>
      <c r="B28" s="60"/>
      <c r="C28" s="33" t="s">
        <v>58</v>
      </c>
      <c r="D28" s="1" t="s">
        <v>59</v>
      </c>
      <c r="F28" s="34"/>
      <c r="G28" s="20"/>
      <c r="H28" s="55"/>
      <c r="I28" s="25"/>
      <c r="J28" s="25"/>
      <c r="K28" s="25"/>
      <c r="L28" s="25"/>
      <c r="M28" s="25"/>
      <c r="N28" s="25"/>
      <c r="O28" s="25"/>
      <c r="R28" s="20"/>
      <c r="S28" s="20"/>
      <c r="T28" s="20"/>
      <c r="U28" s="20"/>
      <c r="AD28" s="61"/>
      <c r="AE28" s="61"/>
      <c r="AF28" s="61"/>
      <c r="AG28" s="98"/>
      <c r="AH28" s="98"/>
      <c r="AI28" s="98"/>
      <c r="AJ28" s="98"/>
      <c r="AK28" s="99"/>
    </row>
    <row r="29">
      <c r="A29" s="87"/>
      <c r="B29" s="69"/>
      <c r="C29" s="33" t="s">
        <v>60</v>
      </c>
      <c r="D29" s="1" t="s">
        <v>61</v>
      </c>
      <c r="F29" s="34"/>
      <c r="I29" s="25"/>
      <c r="J29" s="25"/>
      <c r="K29" s="25"/>
      <c r="L29" s="25"/>
      <c r="M29" s="20"/>
      <c r="N29" s="20"/>
      <c r="O29" s="20"/>
      <c r="AD29" s="70"/>
      <c r="AE29" s="70"/>
      <c r="AF29" s="70"/>
      <c r="AG29" s="98"/>
      <c r="AH29" s="98"/>
      <c r="AI29" s="98"/>
      <c r="AJ29" s="98"/>
      <c r="AK29" s="99"/>
    </row>
    <row r="30">
      <c r="A30" s="71"/>
      <c r="B30" s="25"/>
      <c r="C30" s="33" t="s">
        <v>44</v>
      </c>
      <c r="D30" s="1" t="s">
        <v>62</v>
      </c>
      <c r="F30" s="34"/>
      <c r="AD30" s="25"/>
      <c r="AE30" s="25"/>
      <c r="AF30" s="25"/>
      <c r="AG30" s="68"/>
      <c r="AH30" s="68"/>
      <c r="AI30" s="68"/>
      <c r="AJ30" s="98"/>
      <c r="AK30" s="68"/>
    </row>
    <row r="31">
      <c r="A31" s="71"/>
      <c r="B31" s="25"/>
      <c r="C31" s="33" t="s">
        <v>63</v>
      </c>
      <c r="D31" s="1" t="s">
        <v>64</v>
      </c>
      <c r="F31" s="34"/>
      <c r="AD31" s="25"/>
      <c r="AE31" s="25"/>
      <c r="AF31" s="25"/>
      <c r="AG31" s="68"/>
      <c r="AH31" s="68"/>
      <c r="AI31" s="68"/>
      <c r="AJ31" s="68"/>
      <c r="AK31" s="68"/>
    </row>
    <row r="32">
      <c r="C32" s="33" t="s">
        <v>65</v>
      </c>
      <c r="D32" s="1" t="s">
        <v>66</v>
      </c>
      <c r="F32" s="34"/>
    </row>
    <row r="33">
      <c r="C33" s="33" t="s">
        <v>46</v>
      </c>
      <c r="D33" s="1" t="s">
        <v>67</v>
      </c>
      <c r="F33" s="34"/>
    </row>
    <row r="34">
      <c r="C34" s="35" t="s">
        <v>68</v>
      </c>
      <c r="D34" s="36" t="s">
        <v>69</v>
      </c>
      <c r="E34" s="8"/>
      <c r="F34" s="37"/>
      <c r="AG34" s="22"/>
      <c r="AH34" s="22"/>
      <c r="AI34" s="22"/>
      <c r="AJ34" s="22"/>
      <c r="AK34" s="22"/>
    </row>
    <row r="35">
      <c r="AG35" s="22"/>
      <c r="AH35" s="22"/>
      <c r="AI35" s="22"/>
      <c r="AJ35" s="22"/>
      <c r="AK35" s="22"/>
    </row>
    <row r="49">
      <c r="E49" s="1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E52" s="69"/>
      <c r="F52" s="69"/>
      <c r="G52" s="69"/>
      <c r="H52" s="69"/>
      <c r="I52" s="69"/>
      <c r="J52" s="69"/>
      <c r="K52" s="69"/>
      <c r="L52" s="60"/>
      <c r="M52" s="60"/>
      <c r="N52" s="60"/>
      <c r="O52" s="60"/>
      <c r="P52" s="61"/>
      <c r="Q52" s="61"/>
      <c r="R52" s="61"/>
      <c r="S52" s="70"/>
      <c r="T52" s="70"/>
      <c r="U52" s="70"/>
    </row>
    <row r="53"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0"/>
      <c r="T53" s="60"/>
      <c r="U53" s="60"/>
    </row>
    <row r="54">
      <c r="E54" s="60"/>
      <c r="F54" s="60"/>
      <c r="G54" s="60"/>
      <c r="H54" s="60"/>
      <c r="I54" s="60"/>
      <c r="J54" s="61"/>
      <c r="K54" s="61"/>
      <c r="L54" s="70"/>
      <c r="M54" s="70"/>
      <c r="N54" s="70"/>
      <c r="O54" s="70"/>
      <c r="P54" s="70"/>
      <c r="Q54" s="70"/>
      <c r="R54" s="70"/>
      <c r="S54" s="70"/>
      <c r="T54" s="70"/>
      <c r="U54" s="70"/>
    </row>
    <row r="5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</sheetData>
  <mergeCells count="16">
    <mergeCell ref="B1:AC3"/>
    <mergeCell ref="B14:AF14"/>
    <mergeCell ref="C22:F22"/>
    <mergeCell ref="D23:F23"/>
    <mergeCell ref="D24:F24"/>
    <mergeCell ref="D25:F25"/>
    <mergeCell ref="D26:F26"/>
    <mergeCell ref="D33:F33"/>
    <mergeCell ref="D34:F34"/>
    <mergeCell ref="D27:F27"/>
    <mergeCell ref="V27:AC29"/>
    <mergeCell ref="D28:F28"/>
    <mergeCell ref="D29:F29"/>
    <mergeCell ref="D30:F30"/>
    <mergeCell ref="D31:F31"/>
    <mergeCell ref="D32:F32"/>
  </mergeCells>
  <conditionalFormatting sqref="B9:H9 R26:U26 B28 E54:K54">
    <cfRule type="cellIs" dxfId="0" priority="1" operator="equal">
      <formula>"X"</formula>
    </cfRule>
  </conditionalFormatting>
  <conditionalFormatting sqref="B9:H9 R26:U26 B28 E54:K54">
    <cfRule type="cellIs" dxfId="1" priority="2" operator="equal">
      <formula>"D"</formula>
    </cfRule>
  </conditionalFormatting>
  <conditionalFormatting sqref="B9:H9 R26:U26 B28 E54:K54">
    <cfRule type="cellIs" dxfId="2" priority="3" operator="equal">
      <formula>"N"</formula>
    </cfRule>
  </conditionalFormatting>
  <conditionalFormatting sqref="B9:H9 R26:U26 B28 E54:K54">
    <cfRule type="cellIs" dxfId="3" priority="4" operator="equal">
      <formula>"OB"</formula>
    </cfRule>
  </conditionalFormatting>
  <conditionalFormatting sqref="B9:H9 R26:U26 B28 E54:K54">
    <cfRule type="cellIs" dxfId="0" priority="5" operator="equal">
      <formula>"C"</formula>
    </cfRule>
  </conditionalFormatting>
  <conditionalFormatting sqref="B9:H9 R26:U26 B28 E54:K54">
    <cfRule type="cellIs" dxfId="0" priority="6" operator="equal">
      <formula>"AL"</formula>
    </cfRule>
  </conditionalFormatting>
  <conditionalFormatting sqref="B9:H9 R26:U26 B28 E54:K54">
    <cfRule type="cellIs" dxfId="4" priority="7" operator="equal">
      <formula>"UP"</formula>
    </cfRule>
  </conditionalFormatting>
  <conditionalFormatting sqref="B9:H9 R26:U26 B28 E54:K54">
    <cfRule type="cellIs" dxfId="0" priority="8" operator="equal">
      <formula>"S"</formula>
    </cfRule>
  </conditionalFormatting>
  <conditionalFormatting sqref="B9:H9 R26:U26 B28 E54:K54">
    <cfRule type="cellIs" dxfId="5" priority="9" operator="equal">
      <formula>"OC"</formula>
    </cfRule>
  </conditionalFormatting>
  <conditionalFormatting sqref="B9:H9 R26:U26 B28 E54:K54">
    <cfRule type="cellIs" dxfId="6" priority="10" operator="equal">
      <formula>"SPV"</formula>
    </cfRule>
  </conditionalFormatting>
  <conditionalFormatting sqref="B9:H9 R26:U26 B28 E54:K54">
    <cfRule type="cellIs" dxfId="7" priority="11" operator="equal">
      <formula>"INT"</formula>
    </cfRule>
  </conditionalFormatting>
  <conditionalFormatting sqref="B9:H9 R26:U26 B28 E54:K54">
    <cfRule type="cellIs" dxfId="8" priority="12" operator="equal">
      <formula>"T"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3" operator="equal">
      <formula>"X"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1" priority="14" operator="equal">
      <formula>"D"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2" priority="15" operator="equal">
      <formula>"N"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3" priority="16" operator="equal">
      <formula>"OB"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7" operator="equal">
      <formula>"C"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18" operator="equal">
      <formula>"AL"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4" priority="19" operator="equal">
      <formula>"UP"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0" priority="20" operator="equal">
      <formula>"S"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5" priority="21" operator="equal">
      <formula>"OC"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6" priority="22" operator="equal">
      <formula>"SPV"</formula>
    </cfRule>
  </conditionalFormatting>
  <conditionalFormatting sqref="B6:AF11 A10 B15:AF17 E20 C22:C34 I22:I23 J22:O29 Q22:Z29 B23:B29 D23:G29 H23:H26 P23:P29 AA23:AF29 I25:I29 H28:H29 I33:J34 K33:O41 Q33:Q38 R33:R34 S33:Z37 P34:P41 AA34:AB37 E35:E57 I38:I40 T39:W40 J40 Q41 K45:P55 Q45:Q49 S45:AB48 I49:I55 T50:U55 V50:W51 F51:H55 J51:J55 Q51:S55">
    <cfRule type="cellIs" dxfId="7" priority="23" operator="equal">
      <formula>"INT"</formula>
    </cfRule>
  </conditionalFormatting>
  <conditionalFormatting sqref="B6:AF11 A10 B15:AF17 I22:I23 J22:O29 Q22:Z29 B23:G29 H23:H26 P23:P29 AA23:AF29 I25:I29 H28:H29 K34:P40 Q34:Q38 S34:AB37 T39:W40 J40 E51:U55">
    <cfRule type="cellIs" dxfId="8" priority="24" operator="equal">
      <formula>"T"</formula>
    </cfRule>
  </conditionalFormatting>
  <conditionalFormatting sqref="C33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91" t="s">
        <v>144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92"/>
      <c r="AG3" s="4"/>
      <c r="AH3" s="4"/>
      <c r="AI3" s="4"/>
      <c r="AJ3" s="4"/>
      <c r="AK3" s="4"/>
    </row>
    <row r="4">
      <c r="A4" s="6"/>
      <c r="B4" s="10" t="s">
        <v>8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2</v>
      </c>
      <c r="K4" s="10" t="s">
        <v>3</v>
      </c>
      <c r="L4" s="10" t="s">
        <v>4</v>
      </c>
      <c r="M4" s="10" t="s">
        <v>5</v>
      </c>
      <c r="N4" s="10" t="s">
        <v>6</v>
      </c>
      <c r="O4" s="10" t="s">
        <v>7</v>
      </c>
      <c r="P4" s="10" t="s">
        <v>8</v>
      </c>
      <c r="Q4" s="10" t="s">
        <v>2</v>
      </c>
      <c r="R4" s="10" t="s">
        <v>3</v>
      </c>
      <c r="S4" s="10" t="s">
        <v>4</v>
      </c>
      <c r="T4" s="10" t="s">
        <v>5</v>
      </c>
      <c r="U4" s="10" t="s">
        <v>6</v>
      </c>
      <c r="V4" s="10" t="s">
        <v>7</v>
      </c>
      <c r="W4" s="10" t="s">
        <v>8</v>
      </c>
      <c r="X4" s="10" t="s">
        <v>2</v>
      </c>
      <c r="Y4" s="13" t="s">
        <v>3</v>
      </c>
      <c r="Z4" s="10" t="s">
        <v>4</v>
      </c>
      <c r="AA4" s="10" t="s">
        <v>5</v>
      </c>
      <c r="AB4" s="10" t="s">
        <v>6</v>
      </c>
      <c r="AC4" s="10" t="s">
        <v>7</v>
      </c>
      <c r="AD4" s="42" t="s">
        <v>8</v>
      </c>
      <c r="AE4" s="42" t="s">
        <v>2</v>
      </c>
      <c r="AF4" s="13" t="s">
        <v>3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145</v>
      </c>
      <c r="AE5" s="13" t="s">
        <v>37</v>
      </c>
      <c r="AF5" s="13" t="s">
        <v>70</v>
      </c>
      <c r="AG5" s="44" t="s">
        <v>38</v>
      </c>
      <c r="AH5" s="45" t="s">
        <v>39</v>
      </c>
      <c r="AI5" s="46" t="s">
        <v>40</v>
      </c>
      <c r="AJ5" s="48" t="s">
        <v>42</v>
      </c>
      <c r="AK5" s="54" t="s">
        <v>76</v>
      </c>
    </row>
    <row r="6">
      <c r="A6" s="19" t="s">
        <v>137</v>
      </c>
      <c r="B6" s="71" t="s">
        <v>38</v>
      </c>
      <c r="C6" s="71" t="s">
        <v>40</v>
      </c>
      <c r="D6" s="71" t="s">
        <v>44</v>
      </c>
      <c r="E6" s="71" t="s">
        <v>44</v>
      </c>
      <c r="F6" s="71" t="s">
        <v>40</v>
      </c>
      <c r="G6" s="71" t="s">
        <v>40</v>
      </c>
      <c r="H6" s="71" t="s">
        <v>39</v>
      </c>
      <c r="I6" s="71" t="s">
        <v>39</v>
      </c>
      <c r="J6" s="71" t="s">
        <v>40</v>
      </c>
      <c r="K6" s="71" t="s">
        <v>40</v>
      </c>
      <c r="L6" s="71" t="s">
        <v>39</v>
      </c>
      <c r="M6" s="71" t="s">
        <v>39</v>
      </c>
      <c r="N6" s="71" t="s">
        <v>40</v>
      </c>
      <c r="O6" s="71" t="s">
        <v>40</v>
      </c>
      <c r="P6" s="71" t="s">
        <v>39</v>
      </c>
      <c r="Q6" s="71" t="s">
        <v>39</v>
      </c>
      <c r="R6" s="71" t="s">
        <v>40</v>
      </c>
      <c r="S6" s="71" t="s">
        <v>40</v>
      </c>
      <c r="T6" s="71" t="s">
        <v>39</v>
      </c>
      <c r="U6" s="71" t="s">
        <v>39</v>
      </c>
      <c r="V6" s="71" t="s">
        <v>40</v>
      </c>
      <c r="W6" s="71" t="s">
        <v>40</v>
      </c>
      <c r="X6" s="71" t="s">
        <v>38</v>
      </c>
      <c r="Y6" s="71" t="s">
        <v>38</v>
      </c>
      <c r="Z6" s="71" t="s">
        <v>40</v>
      </c>
      <c r="AA6" s="71" t="s">
        <v>40</v>
      </c>
      <c r="AB6" s="71" t="s">
        <v>38</v>
      </c>
      <c r="AC6" s="71" t="s">
        <v>38</v>
      </c>
      <c r="AD6" s="71" t="s">
        <v>40</v>
      </c>
      <c r="AE6" s="71" t="s">
        <v>40</v>
      </c>
      <c r="AF6" s="71" t="s">
        <v>38</v>
      </c>
      <c r="AG6" s="49">
        <f t="shared" ref="AG6:AG11" si="1">COUNTIF(B6:AF6,"D")</f>
        <v>6</v>
      </c>
      <c r="AH6" s="49">
        <f t="shared" ref="AH6:AH11" si="2">COUNTIF(B6:AF6,"N")</f>
        <v>8</v>
      </c>
      <c r="AI6" s="49">
        <f t="shared" ref="AI6:AI11" si="3">COUNTIF(B6:AF6,"X")</f>
        <v>15</v>
      </c>
      <c r="AJ6" s="49">
        <f t="shared" ref="AJ6:AJ11" si="4">AG6+AH6</f>
        <v>14</v>
      </c>
      <c r="AK6" s="84">
        <f t="shared" ref="AK6:AK11" si="5">(AJ6*12)/4.2</f>
        <v>40</v>
      </c>
    </row>
    <row r="7">
      <c r="A7" s="19" t="s">
        <v>43</v>
      </c>
      <c r="B7" s="69" t="s">
        <v>39</v>
      </c>
      <c r="C7" s="69" t="s">
        <v>39</v>
      </c>
      <c r="D7" s="69" t="s">
        <v>40</v>
      </c>
      <c r="E7" s="69" t="s">
        <v>40</v>
      </c>
      <c r="F7" s="69" t="s">
        <v>39</v>
      </c>
      <c r="G7" s="69" t="s">
        <v>60</v>
      </c>
      <c r="H7" s="69" t="s">
        <v>40</v>
      </c>
      <c r="I7" s="60" t="s">
        <v>40</v>
      </c>
      <c r="J7" s="60" t="s">
        <v>38</v>
      </c>
      <c r="K7" s="60" t="s">
        <v>38</v>
      </c>
      <c r="L7" s="60" t="s">
        <v>40</v>
      </c>
      <c r="M7" s="61" t="s">
        <v>40</v>
      </c>
      <c r="N7" s="61" t="s">
        <v>38</v>
      </c>
      <c r="O7" s="61" t="s">
        <v>38</v>
      </c>
      <c r="P7" s="70" t="s">
        <v>40</v>
      </c>
      <c r="Q7" s="70" t="s">
        <v>40</v>
      </c>
      <c r="R7" s="70" t="s">
        <v>38</v>
      </c>
      <c r="S7" s="70" t="s">
        <v>38</v>
      </c>
      <c r="T7" s="70" t="s">
        <v>40</v>
      </c>
      <c r="U7" s="70" t="s">
        <v>40</v>
      </c>
      <c r="V7" s="70" t="s">
        <v>38</v>
      </c>
      <c r="W7" s="71" t="s">
        <v>38</v>
      </c>
      <c r="X7" s="70" t="s">
        <v>40</v>
      </c>
      <c r="Y7" s="71" t="s">
        <v>40</v>
      </c>
      <c r="Z7" s="71" t="s">
        <v>39</v>
      </c>
      <c r="AA7" s="71" t="s">
        <v>39</v>
      </c>
      <c r="AB7" s="71" t="s">
        <v>40</v>
      </c>
      <c r="AC7" s="71" t="s">
        <v>40</v>
      </c>
      <c r="AD7" s="71" t="s">
        <v>39</v>
      </c>
      <c r="AE7" s="71" t="s">
        <v>39</v>
      </c>
      <c r="AF7" s="71" t="s">
        <v>40</v>
      </c>
      <c r="AG7" s="49">
        <f t="shared" si="1"/>
        <v>8</v>
      </c>
      <c r="AH7" s="49">
        <f t="shared" si="2"/>
        <v>7</v>
      </c>
      <c r="AI7" s="49">
        <f t="shared" si="3"/>
        <v>15</v>
      </c>
      <c r="AJ7" s="49">
        <f t="shared" si="4"/>
        <v>15</v>
      </c>
      <c r="AK7" s="84">
        <f t="shared" si="5"/>
        <v>42.85714286</v>
      </c>
    </row>
    <row r="8">
      <c r="A8" s="13" t="s">
        <v>84</v>
      </c>
      <c r="B8" s="69" t="s">
        <v>40</v>
      </c>
      <c r="C8" s="69" t="s">
        <v>58</v>
      </c>
      <c r="D8" s="69" t="s">
        <v>58</v>
      </c>
      <c r="E8" s="69" t="s">
        <v>40</v>
      </c>
      <c r="F8" s="69" t="s">
        <v>38</v>
      </c>
      <c r="G8" s="69" t="s">
        <v>38</v>
      </c>
      <c r="H8" s="69" t="s">
        <v>40</v>
      </c>
      <c r="I8" s="69" t="s">
        <v>40</v>
      </c>
      <c r="J8" s="69" t="s">
        <v>39</v>
      </c>
      <c r="K8" s="69" t="s">
        <v>39</v>
      </c>
      <c r="L8" s="69" t="s">
        <v>40</v>
      </c>
      <c r="M8" s="69" t="s">
        <v>40</v>
      </c>
      <c r="N8" s="69" t="s">
        <v>39</v>
      </c>
      <c r="O8" s="69" t="s">
        <v>39</v>
      </c>
      <c r="P8" s="60" t="s">
        <v>40</v>
      </c>
      <c r="Q8" s="60" t="s">
        <v>40</v>
      </c>
      <c r="R8" s="60" t="s">
        <v>39</v>
      </c>
      <c r="S8" s="60" t="s">
        <v>39</v>
      </c>
      <c r="T8" s="60" t="s">
        <v>40</v>
      </c>
      <c r="U8" s="61" t="s">
        <v>40</v>
      </c>
      <c r="V8" s="61" t="s">
        <v>39</v>
      </c>
      <c r="W8" s="70" t="s">
        <v>39</v>
      </c>
      <c r="X8" s="1" t="s">
        <v>40</v>
      </c>
      <c r="Y8" s="70" t="s">
        <v>40</v>
      </c>
      <c r="Z8" s="70" t="s">
        <v>38</v>
      </c>
      <c r="AA8" s="70" t="s">
        <v>38</v>
      </c>
      <c r="AB8" s="70" t="s">
        <v>40</v>
      </c>
      <c r="AC8" s="70" t="s">
        <v>40</v>
      </c>
      <c r="AD8" s="70" t="s">
        <v>38</v>
      </c>
      <c r="AE8" s="70" t="s">
        <v>38</v>
      </c>
      <c r="AF8" s="70" t="s">
        <v>40</v>
      </c>
      <c r="AG8" s="49">
        <f t="shared" si="1"/>
        <v>6</v>
      </c>
      <c r="AH8" s="49">
        <f t="shared" si="2"/>
        <v>8</v>
      </c>
      <c r="AI8" s="49">
        <f t="shared" si="3"/>
        <v>15</v>
      </c>
      <c r="AJ8" s="49">
        <f t="shared" si="4"/>
        <v>14</v>
      </c>
      <c r="AK8" s="84">
        <f t="shared" si="5"/>
        <v>40</v>
      </c>
    </row>
    <row r="9">
      <c r="A9" s="13" t="s">
        <v>48</v>
      </c>
      <c r="B9" s="60" t="s">
        <v>40</v>
      </c>
      <c r="C9" s="60" t="s">
        <v>40</v>
      </c>
      <c r="D9" s="60" t="s">
        <v>68</v>
      </c>
      <c r="E9" s="60" t="s">
        <v>39</v>
      </c>
      <c r="F9" s="60" t="s">
        <v>68</v>
      </c>
      <c r="G9" s="61" t="s">
        <v>68</v>
      </c>
      <c r="H9" s="61" t="s">
        <v>38</v>
      </c>
      <c r="I9" s="70" t="s">
        <v>60</v>
      </c>
      <c r="J9" s="70" t="s">
        <v>40</v>
      </c>
      <c r="K9" s="70" t="s">
        <v>40</v>
      </c>
      <c r="L9" s="70" t="s">
        <v>38</v>
      </c>
      <c r="M9" s="70" t="s">
        <v>38</v>
      </c>
      <c r="N9" s="70" t="s">
        <v>40</v>
      </c>
      <c r="O9" s="70" t="s">
        <v>40</v>
      </c>
      <c r="P9" s="70" t="s">
        <v>38</v>
      </c>
      <c r="Q9" s="70" t="s">
        <v>38</v>
      </c>
      <c r="R9" s="70" t="s">
        <v>40</v>
      </c>
      <c r="S9" s="70" t="s">
        <v>40</v>
      </c>
      <c r="T9" s="70" t="s">
        <v>38</v>
      </c>
      <c r="U9" s="70" t="s">
        <v>38</v>
      </c>
      <c r="V9" s="70" t="s">
        <v>40</v>
      </c>
      <c r="W9" s="60" t="s">
        <v>40</v>
      </c>
      <c r="X9" s="60" t="s">
        <v>39</v>
      </c>
      <c r="Y9" s="60" t="s">
        <v>39</v>
      </c>
      <c r="Z9" s="60" t="s">
        <v>40</v>
      </c>
      <c r="AA9" s="60" t="s">
        <v>40</v>
      </c>
      <c r="AB9" s="61" t="s">
        <v>39</v>
      </c>
      <c r="AC9" s="61" t="s">
        <v>39</v>
      </c>
      <c r="AD9" s="61" t="s">
        <v>40</v>
      </c>
      <c r="AE9" s="61" t="s">
        <v>40</v>
      </c>
      <c r="AF9" s="61" t="s">
        <v>39</v>
      </c>
      <c r="AG9" s="49">
        <f t="shared" si="1"/>
        <v>7</v>
      </c>
      <c r="AH9" s="49">
        <f t="shared" si="2"/>
        <v>6</v>
      </c>
      <c r="AI9" s="49">
        <f t="shared" si="3"/>
        <v>14</v>
      </c>
      <c r="AJ9" s="49">
        <f t="shared" si="4"/>
        <v>13</v>
      </c>
      <c r="AK9" s="84">
        <f t="shared" si="5"/>
        <v>37.14285714</v>
      </c>
    </row>
    <row r="10">
      <c r="A10" s="13" t="s">
        <v>138</v>
      </c>
      <c r="B10" s="69" t="s">
        <v>40</v>
      </c>
      <c r="C10" s="69" t="s">
        <v>38</v>
      </c>
      <c r="D10" s="69" t="s">
        <v>39</v>
      </c>
      <c r="E10" s="69" t="s">
        <v>40</v>
      </c>
      <c r="F10" s="69" t="s">
        <v>60</v>
      </c>
      <c r="G10" s="69" t="s">
        <v>39</v>
      </c>
      <c r="H10" s="69" t="s">
        <v>40</v>
      </c>
      <c r="I10" s="69" t="s">
        <v>38</v>
      </c>
      <c r="J10" s="69" t="s">
        <v>44</v>
      </c>
      <c r="K10" s="69" t="s">
        <v>44</v>
      </c>
      <c r="L10" s="69" t="s">
        <v>44</v>
      </c>
      <c r="M10" s="69" t="s">
        <v>44</v>
      </c>
      <c r="N10" s="69" t="s">
        <v>44</v>
      </c>
      <c r="O10" s="69" t="s">
        <v>40</v>
      </c>
      <c r="P10" s="69" t="s">
        <v>40</v>
      </c>
      <c r="Q10" s="69" t="s">
        <v>44</v>
      </c>
      <c r="R10" s="69" t="s">
        <v>44</v>
      </c>
      <c r="S10" s="69" t="s">
        <v>44</v>
      </c>
      <c r="T10" s="69" t="s">
        <v>44</v>
      </c>
      <c r="U10" s="69" t="s">
        <v>44</v>
      </c>
      <c r="V10" s="69" t="s">
        <v>40</v>
      </c>
      <c r="W10" s="70" t="s">
        <v>40</v>
      </c>
      <c r="X10" s="70"/>
      <c r="Y10" s="70"/>
      <c r="Z10" s="70"/>
      <c r="AA10" s="70"/>
      <c r="AB10" s="70"/>
      <c r="AC10" s="70"/>
      <c r="AD10" s="70"/>
      <c r="AE10" s="70"/>
      <c r="AF10" s="70"/>
      <c r="AG10" s="49">
        <f t="shared" si="1"/>
        <v>2</v>
      </c>
      <c r="AH10" s="49">
        <f t="shared" si="2"/>
        <v>2</v>
      </c>
      <c r="AI10" s="49">
        <f t="shared" si="3"/>
        <v>7</v>
      </c>
      <c r="AJ10" s="49">
        <f t="shared" si="4"/>
        <v>4</v>
      </c>
      <c r="AK10" s="84">
        <f t="shared" si="5"/>
        <v>11.42857143</v>
      </c>
    </row>
    <row r="11">
      <c r="A11" s="88" t="s">
        <v>47</v>
      </c>
      <c r="B11" s="69" t="s">
        <v>40</v>
      </c>
      <c r="C11" s="69" t="s">
        <v>41</v>
      </c>
      <c r="D11" s="69" t="s">
        <v>38</v>
      </c>
      <c r="E11" s="69" t="s">
        <v>38</v>
      </c>
      <c r="F11" s="69" t="s">
        <v>41</v>
      </c>
      <c r="G11" s="69" t="s">
        <v>41</v>
      </c>
      <c r="H11" s="69" t="s">
        <v>40</v>
      </c>
      <c r="I11" s="69" t="s">
        <v>40</v>
      </c>
      <c r="J11" s="69" t="s">
        <v>41</v>
      </c>
      <c r="K11" s="69" t="s">
        <v>41</v>
      </c>
      <c r="L11" s="69" t="s">
        <v>68</v>
      </c>
      <c r="M11" s="69" t="s">
        <v>41</v>
      </c>
      <c r="N11" s="69" t="s">
        <v>41</v>
      </c>
      <c r="O11" s="69" t="s">
        <v>40</v>
      </c>
      <c r="P11" s="69" t="s">
        <v>40</v>
      </c>
      <c r="Q11" s="69" t="s">
        <v>41</v>
      </c>
      <c r="R11" s="69" t="s">
        <v>41</v>
      </c>
      <c r="S11" s="69" t="s">
        <v>41</v>
      </c>
      <c r="T11" s="69" t="s">
        <v>41</v>
      </c>
      <c r="U11" s="69" t="s">
        <v>41</v>
      </c>
      <c r="V11" s="69" t="s">
        <v>40</v>
      </c>
      <c r="W11" s="70" t="s">
        <v>40</v>
      </c>
      <c r="X11" s="70" t="s">
        <v>41</v>
      </c>
      <c r="Y11" s="70" t="s">
        <v>41</v>
      </c>
      <c r="Z11" s="70" t="s">
        <v>41</v>
      </c>
      <c r="AA11" s="70" t="s">
        <v>41</v>
      </c>
      <c r="AB11" s="70" t="s">
        <v>41</v>
      </c>
      <c r="AC11" s="70" t="s">
        <v>40</v>
      </c>
      <c r="AD11" s="70" t="s">
        <v>40</v>
      </c>
      <c r="AE11" s="70" t="s">
        <v>41</v>
      </c>
      <c r="AF11" s="70" t="s">
        <v>41</v>
      </c>
      <c r="AG11" s="49">
        <f t="shared" si="1"/>
        <v>2</v>
      </c>
      <c r="AH11" s="49">
        <f t="shared" si="2"/>
        <v>0</v>
      </c>
      <c r="AI11" s="49">
        <f t="shared" si="3"/>
        <v>9</v>
      </c>
      <c r="AJ11" s="49">
        <f t="shared" si="4"/>
        <v>2</v>
      </c>
      <c r="AK11" s="84">
        <f t="shared" si="5"/>
        <v>5.714285714</v>
      </c>
    </row>
    <row r="12">
      <c r="A12" s="23" t="s">
        <v>49</v>
      </c>
      <c r="B12" s="24">
        <f t="shared" ref="B12:AF12" si="6">COUNTIF(B6:B11,"D")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1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1</v>
      </c>
      <c r="AB12" s="24">
        <f t="shared" si="6"/>
        <v>1</v>
      </c>
      <c r="AC12" s="24">
        <f t="shared" si="6"/>
        <v>1</v>
      </c>
      <c r="AD12" s="24">
        <f t="shared" si="6"/>
        <v>1</v>
      </c>
      <c r="AE12" s="24">
        <f t="shared" si="6"/>
        <v>1</v>
      </c>
      <c r="AF12" s="24">
        <f t="shared" si="6"/>
        <v>1</v>
      </c>
      <c r="AJ12" s="49"/>
    </row>
    <row r="13">
      <c r="A13" s="26" t="s">
        <v>50</v>
      </c>
      <c r="B13" s="27">
        <f t="shared" ref="B13:AF13" si="7">COUNTIF(B6:B11,"N")</f>
        <v>1</v>
      </c>
      <c r="C13" s="27">
        <f t="shared" si="7"/>
        <v>1</v>
      </c>
      <c r="D13" s="27">
        <f t="shared" si="7"/>
        <v>1</v>
      </c>
      <c r="E13" s="27">
        <f t="shared" si="7"/>
        <v>1</v>
      </c>
      <c r="F13" s="27">
        <f t="shared" si="7"/>
        <v>1</v>
      </c>
      <c r="G13" s="27">
        <f t="shared" si="7"/>
        <v>1</v>
      </c>
      <c r="H13" s="27">
        <f t="shared" si="7"/>
        <v>1</v>
      </c>
      <c r="I13" s="27">
        <f t="shared" si="7"/>
        <v>1</v>
      </c>
      <c r="J13" s="27">
        <f t="shared" si="7"/>
        <v>1</v>
      </c>
      <c r="K13" s="27">
        <f t="shared" si="7"/>
        <v>1</v>
      </c>
      <c r="L13" s="27">
        <f t="shared" si="7"/>
        <v>1</v>
      </c>
      <c r="M13" s="27">
        <f t="shared" si="7"/>
        <v>1</v>
      </c>
      <c r="N13" s="27">
        <f t="shared" si="7"/>
        <v>1</v>
      </c>
      <c r="O13" s="27">
        <f t="shared" si="7"/>
        <v>1</v>
      </c>
      <c r="P13" s="27">
        <f t="shared" si="7"/>
        <v>1</v>
      </c>
      <c r="Q13" s="27">
        <f t="shared" si="7"/>
        <v>1</v>
      </c>
      <c r="R13" s="27">
        <f t="shared" si="7"/>
        <v>1</v>
      </c>
      <c r="S13" s="27">
        <f t="shared" si="7"/>
        <v>1</v>
      </c>
      <c r="T13" s="27">
        <f t="shared" si="7"/>
        <v>1</v>
      </c>
      <c r="U13" s="27">
        <f t="shared" si="7"/>
        <v>1</v>
      </c>
      <c r="V13" s="27">
        <f t="shared" si="7"/>
        <v>1</v>
      </c>
      <c r="W13" s="27">
        <f t="shared" si="7"/>
        <v>1</v>
      </c>
      <c r="X13" s="27">
        <f t="shared" si="7"/>
        <v>1</v>
      </c>
      <c r="Y13" s="27">
        <f t="shared" si="7"/>
        <v>1</v>
      </c>
      <c r="Z13" s="27">
        <f t="shared" si="7"/>
        <v>1</v>
      </c>
      <c r="AA13" s="27">
        <f t="shared" si="7"/>
        <v>1</v>
      </c>
      <c r="AB13" s="27">
        <f t="shared" si="7"/>
        <v>1</v>
      </c>
      <c r="AC13" s="27">
        <f t="shared" si="7"/>
        <v>1</v>
      </c>
      <c r="AD13" s="27">
        <f t="shared" si="7"/>
        <v>1</v>
      </c>
      <c r="AE13" s="27">
        <f t="shared" si="7"/>
        <v>1</v>
      </c>
      <c r="AF13" s="27">
        <f t="shared" si="7"/>
        <v>1</v>
      </c>
    </row>
    <row r="14">
      <c r="B14" s="85" t="s">
        <v>120</v>
      </c>
      <c r="AG14" s="44" t="s">
        <v>38</v>
      </c>
      <c r="AH14" s="45" t="s">
        <v>39</v>
      </c>
      <c r="AI14" s="46" t="s">
        <v>40</v>
      </c>
      <c r="AJ14" s="48" t="s">
        <v>42</v>
      </c>
      <c r="AK14" s="54" t="s">
        <v>76</v>
      </c>
    </row>
    <row r="15">
      <c r="A15" s="13" t="s">
        <v>104</v>
      </c>
      <c r="B15" s="69" t="s">
        <v>38</v>
      </c>
      <c r="C15" s="69" t="s">
        <v>38</v>
      </c>
      <c r="D15" s="69" t="s">
        <v>38</v>
      </c>
      <c r="E15" s="69" t="s">
        <v>38</v>
      </c>
      <c r="F15" s="69" t="s">
        <v>38</v>
      </c>
      <c r="G15" s="69" t="s">
        <v>38</v>
      </c>
      <c r="H15" s="69" t="s">
        <v>38</v>
      </c>
      <c r="I15" s="69" t="s">
        <v>40</v>
      </c>
      <c r="J15" s="69" t="s">
        <v>38</v>
      </c>
      <c r="K15" s="69" t="s">
        <v>38</v>
      </c>
      <c r="L15" s="69" t="s">
        <v>38</v>
      </c>
      <c r="M15" s="69" t="s">
        <v>38</v>
      </c>
      <c r="N15" s="69" t="s">
        <v>38</v>
      </c>
      <c r="O15" s="69" t="s">
        <v>38</v>
      </c>
      <c r="P15" s="69" t="s">
        <v>40</v>
      </c>
      <c r="Q15" s="69" t="s">
        <v>39</v>
      </c>
      <c r="R15" s="69" t="s">
        <v>39</v>
      </c>
      <c r="S15" s="69" t="s">
        <v>39</v>
      </c>
      <c r="T15" s="69" t="s">
        <v>39</v>
      </c>
      <c r="U15" s="69" t="s">
        <v>39</v>
      </c>
      <c r="V15" s="69" t="s">
        <v>40</v>
      </c>
      <c r="W15" s="69" t="s">
        <v>40</v>
      </c>
      <c r="X15" s="69" t="s">
        <v>39</v>
      </c>
      <c r="Y15" s="69" t="s">
        <v>39</v>
      </c>
      <c r="Z15" s="69" t="s">
        <v>39</v>
      </c>
      <c r="AA15" s="69" t="s">
        <v>39</v>
      </c>
      <c r="AB15" s="69" t="s">
        <v>39</v>
      </c>
      <c r="AC15" s="69" t="s">
        <v>40</v>
      </c>
      <c r="AD15" s="69" t="s">
        <v>40</v>
      </c>
      <c r="AE15" s="69" t="s">
        <v>39</v>
      </c>
      <c r="AF15" s="69" t="s">
        <v>39</v>
      </c>
      <c r="AG15" s="49">
        <f t="shared" ref="AG15:AG17" si="8">COUNTIF(B15:AF15,"D")</f>
        <v>13</v>
      </c>
      <c r="AH15" s="49">
        <f t="shared" ref="AH15:AH17" si="9">COUNTIF(B15:AF15,"N")</f>
        <v>12</v>
      </c>
      <c r="AI15" s="49">
        <f t="shared" ref="AI15:AI17" si="10">COUNTIF(B15:AF15,"X")</f>
        <v>6</v>
      </c>
      <c r="AJ15" s="49">
        <f t="shared" ref="AJ15:AJ17" si="11">AG15+AH15</f>
        <v>25</v>
      </c>
      <c r="AK15" s="84">
        <f t="shared" ref="AK15:AK17" si="12">(AJ15*10)/4</f>
        <v>62.5</v>
      </c>
    </row>
    <row r="16">
      <c r="A16" s="13" t="s">
        <v>121</v>
      </c>
      <c r="B16" s="69" t="s">
        <v>40</v>
      </c>
      <c r="C16" s="69" t="s">
        <v>39</v>
      </c>
      <c r="D16" s="69" t="s">
        <v>39</v>
      </c>
      <c r="E16" s="69" t="s">
        <v>39</v>
      </c>
      <c r="F16" s="69" t="s">
        <v>39</v>
      </c>
      <c r="G16" s="69" t="s">
        <v>39</v>
      </c>
      <c r="H16" s="69" t="s">
        <v>40</v>
      </c>
      <c r="I16" s="69" t="s">
        <v>40</v>
      </c>
      <c r="J16" s="69" t="s">
        <v>39</v>
      </c>
      <c r="K16" s="69" t="s">
        <v>39</v>
      </c>
      <c r="L16" s="69" t="s">
        <v>39</v>
      </c>
      <c r="M16" s="69" t="s">
        <v>39</v>
      </c>
      <c r="N16" s="69" t="s">
        <v>39</v>
      </c>
      <c r="O16" s="69" t="s">
        <v>40</v>
      </c>
      <c r="P16" s="69" t="s">
        <v>40</v>
      </c>
      <c r="Q16" s="69" t="s">
        <v>38</v>
      </c>
      <c r="R16" s="69" t="s">
        <v>38</v>
      </c>
      <c r="S16" s="69" t="s">
        <v>38</v>
      </c>
      <c r="T16" s="69" t="s">
        <v>38</v>
      </c>
      <c r="U16" s="69" t="s">
        <v>38</v>
      </c>
      <c r="V16" s="69" t="s">
        <v>40</v>
      </c>
      <c r="W16" s="69" t="s">
        <v>40</v>
      </c>
      <c r="X16" s="69" t="s">
        <v>38</v>
      </c>
      <c r="Y16" s="69" t="s">
        <v>38</v>
      </c>
      <c r="Z16" s="69" t="s">
        <v>38</v>
      </c>
      <c r="AA16" s="69" t="s">
        <v>38</v>
      </c>
      <c r="AB16" s="69" t="s">
        <v>38</v>
      </c>
      <c r="AC16" s="69" t="s">
        <v>40</v>
      </c>
      <c r="AD16" s="69" t="s">
        <v>40</v>
      </c>
      <c r="AE16" s="69" t="s">
        <v>38</v>
      </c>
      <c r="AF16" s="69" t="s">
        <v>38</v>
      </c>
      <c r="AG16" s="49">
        <f t="shared" si="8"/>
        <v>12</v>
      </c>
      <c r="AH16" s="49">
        <f t="shared" si="9"/>
        <v>10</v>
      </c>
      <c r="AI16" s="49">
        <f t="shared" si="10"/>
        <v>9</v>
      </c>
      <c r="AJ16" s="49">
        <f t="shared" si="11"/>
        <v>22</v>
      </c>
      <c r="AK16" s="84">
        <f t="shared" si="12"/>
        <v>55</v>
      </c>
    </row>
    <row r="17">
      <c r="A17" s="13" t="s">
        <v>141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49">
        <f t="shared" si="8"/>
        <v>0</v>
      </c>
      <c r="AH17" s="49">
        <f t="shared" si="9"/>
        <v>0</v>
      </c>
      <c r="AI17" s="49">
        <f t="shared" si="10"/>
        <v>0</v>
      </c>
      <c r="AJ17" s="49">
        <f t="shared" si="11"/>
        <v>0</v>
      </c>
      <c r="AK17" s="84">
        <f t="shared" si="12"/>
        <v>0</v>
      </c>
    </row>
    <row r="18">
      <c r="A18" s="23" t="s">
        <v>49</v>
      </c>
      <c r="B18" s="24">
        <f t="shared" ref="B18:AF18" si="13">COUNTIF(B15:B17,"D")</f>
        <v>1</v>
      </c>
      <c r="C18" s="24">
        <f t="shared" si="13"/>
        <v>1</v>
      </c>
      <c r="D18" s="24">
        <f t="shared" si="13"/>
        <v>1</v>
      </c>
      <c r="E18" s="24">
        <f t="shared" si="13"/>
        <v>1</v>
      </c>
      <c r="F18" s="24">
        <f t="shared" si="13"/>
        <v>1</v>
      </c>
      <c r="G18" s="24">
        <f t="shared" si="13"/>
        <v>1</v>
      </c>
      <c r="H18" s="24">
        <f t="shared" si="13"/>
        <v>1</v>
      </c>
      <c r="I18" s="24">
        <f t="shared" si="13"/>
        <v>0</v>
      </c>
      <c r="J18" s="24">
        <f t="shared" si="13"/>
        <v>1</v>
      </c>
      <c r="K18" s="24">
        <f t="shared" si="13"/>
        <v>1</v>
      </c>
      <c r="L18" s="24">
        <f t="shared" si="13"/>
        <v>1</v>
      </c>
      <c r="M18" s="24">
        <f t="shared" si="13"/>
        <v>1</v>
      </c>
      <c r="N18" s="24">
        <f t="shared" si="13"/>
        <v>1</v>
      </c>
      <c r="O18" s="24">
        <f t="shared" si="13"/>
        <v>1</v>
      </c>
      <c r="P18" s="24">
        <f t="shared" si="13"/>
        <v>0</v>
      </c>
      <c r="Q18" s="24">
        <f t="shared" si="13"/>
        <v>1</v>
      </c>
      <c r="R18" s="24">
        <f t="shared" si="13"/>
        <v>1</v>
      </c>
      <c r="S18" s="24">
        <f t="shared" si="13"/>
        <v>1</v>
      </c>
      <c r="T18" s="24">
        <f t="shared" si="13"/>
        <v>1</v>
      </c>
      <c r="U18" s="24">
        <f t="shared" si="13"/>
        <v>1</v>
      </c>
      <c r="V18" s="24">
        <f t="shared" si="13"/>
        <v>0</v>
      </c>
      <c r="W18" s="24">
        <f t="shared" si="13"/>
        <v>0</v>
      </c>
      <c r="X18" s="24">
        <f t="shared" si="13"/>
        <v>1</v>
      </c>
      <c r="Y18" s="24">
        <f t="shared" si="13"/>
        <v>1</v>
      </c>
      <c r="Z18" s="24">
        <f t="shared" si="13"/>
        <v>1</v>
      </c>
      <c r="AA18" s="24">
        <f t="shared" si="13"/>
        <v>1</v>
      </c>
      <c r="AB18" s="24">
        <f t="shared" si="13"/>
        <v>1</v>
      </c>
      <c r="AC18" s="24">
        <f t="shared" si="13"/>
        <v>0</v>
      </c>
      <c r="AD18" s="24">
        <f t="shared" si="13"/>
        <v>0</v>
      </c>
      <c r="AE18" s="24">
        <f t="shared" si="13"/>
        <v>1</v>
      </c>
      <c r="AF18" s="24">
        <f t="shared" si="13"/>
        <v>1</v>
      </c>
      <c r="AG18" s="53"/>
      <c r="AH18" s="53"/>
      <c r="AI18" s="53"/>
      <c r="AJ18" s="53"/>
      <c r="AK18" s="53"/>
    </row>
    <row r="19">
      <c r="A19" s="26" t="s">
        <v>50</v>
      </c>
      <c r="B19" s="27">
        <f t="shared" ref="B19:AF19" si="14">COUNTIF(B15:B17,"N")</f>
        <v>0</v>
      </c>
      <c r="C19" s="27">
        <f t="shared" si="14"/>
        <v>1</v>
      </c>
      <c r="D19" s="27">
        <f t="shared" si="14"/>
        <v>1</v>
      </c>
      <c r="E19" s="27">
        <f t="shared" si="14"/>
        <v>1</v>
      </c>
      <c r="F19" s="27">
        <f t="shared" si="14"/>
        <v>1</v>
      </c>
      <c r="G19" s="27">
        <f t="shared" si="14"/>
        <v>1</v>
      </c>
      <c r="H19" s="27">
        <f t="shared" si="14"/>
        <v>0</v>
      </c>
      <c r="I19" s="27">
        <f t="shared" si="14"/>
        <v>0</v>
      </c>
      <c r="J19" s="27">
        <f t="shared" si="14"/>
        <v>1</v>
      </c>
      <c r="K19" s="27">
        <f t="shared" si="14"/>
        <v>1</v>
      </c>
      <c r="L19" s="27">
        <f t="shared" si="14"/>
        <v>1</v>
      </c>
      <c r="M19" s="27">
        <f t="shared" si="14"/>
        <v>1</v>
      </c>
      <c r="N19" s="27">
        <f t="shared" si="14"/>
        <v>1</v>
      </c>
      <c r="O19" s="27">
        <f t="shared" si="14"/>
        <v>0</v>
      </c>
      <c r="P19" s="27">
        <f t="shared" si="14"/>
        <v>0</v>
      </c>
      <c r="Q19" s="27">
        <f t="shared" si="14"/>
        <v>1</v>
      </c>
      <c r="R19" s="27">
        <f t="shared" si="14"/>
        <v>1</v>
      </c>
      <c r="S19" s="27">
        <f t="shared" si="14"/>
        <v>1</v>
      </c>
      <c r="T19" s="27">
        <f t="shared" si="14"/>
        <v>1</v>
      </c>
      <c r="U19" s="27">
        <f t="shared" si="14"/>
        <v>1</v>
      </c>
      <c r="V19" s="27">
        <f t="shared" si="14"/>
        <v>0</v>
      </c>
      <c r="W19" s="27">
        <f t="shared" si="14"/>
        <v>0</v>
      </c>
      <c r="X19" s="27">
        <f t="shared" si="14"/>
        <v>1</v>
      </c>
      <c r="Y19" s="27">
        <f t="shared" si="14"/>
        <v>1</v>
      </c>
      <c r="Z19" s="27">
        <f t="shared" si="14"/>
        <v>1</v>
      </c>
      <c r="AA19" s="27">
        <f t="shared" si="14"/>
        <v>1</v>
      </c>
      <c r="AB19" s="27">
        <f t="shared" si="14"/>
        <v>1</v>
      </c>
      <c r="AC19" s="27">
        <f t="shared" si="14"/>
        <v>0</v>
      </c>
      <c r="AD19" s="27">
        <f t="shared" si="14"/>
        <v>0</v>
      </c>
      <c r="AE19" s="27">
        <f t="shared" si="14"/>
        <v>1</v>
      </c>
      <c r="AF19" s="27">
        <f t="shared" si="14"/>
        <v>1</v>
      </c>
      <c r="AG19" s="22"/>
      <c r="AH19" s="22"/>
      <c r="AI19" s="22"/>
      <c r="AJ19" s="22"/>
      <c r="AK19" s="22"/>
    </row>
    <row r="20">
      <c r="I20" s="28"/>
      <c r="J20" s="11"/>
      <c r="K20" s="68"/>
      <c r="L20" s="68"/>
      <c r="M20" s="68"/>
      <c r="N20" s="68"/>
      <c r="O20" s="68"/>
      <c r="P20" s="68"/>
      <c r="Q20" s="68"/>
      <c r="R20" s="11"/>
      <c r="S20" s="11"/>
      <c r="T20" s="11"/>
      <c r="U20" s="11"/>
      <c r="V20" s="43" t="s">
        <v>0</v>
      </c>
      <c r="W20" s="11"/>
      <c r="AG20" s="22"/>
      <c r="AH20" s="22"/>
      <c r="AI20" s="22"/>
      <c r="AJ20" s="22"/>
      <c r="AK20" s="22"/>
    </row>
    <row r="21">
      <c r="C21" s="29" t="s">
        <v>51</v>
      </c>
      <c r="D21" s="30"/>
      <c r="E21" s="30"/>
      <c r="F21" s="31"/>
    </row>
    <row r="22">
      <c r="A22" s="6"/>
      <c r="B22" s="86"/>
      <c r="C22" s="33" t="s">
        <v>38</v>
      </c>
      <c r="D22" s="1" t="s">
        <v>52</v>
      </c>
      <c r="F22" s="34"/>
      <c r="G22" s="86"/>
      <c r="H22" s="13"/>
      <c r="O22" s="71"/>
      <c r="P22" s="19"/>
      <c r="U22" s="71"/>
      <c r="V22" s="71"/>
      <c r="W22" s="71"/>
      <c r="X22" s="71"/>
      <c r="Y22" s="71"/>
      <c r="Z22" s="71"/>
    </row>
    <row r="23">
      <c r="A23" s="6"/>
      <c r="B23" s="87"/>
      <c r="C23" s="33" t="s">
        <v>39</v>
      </c>
      <c r="D23" s="1" t="s">
        <v>53</v>
      </c>
      <c r="F23" s="34"/>
      <c r="G23" s="87"/>
      <c r="J23" s="13"/>
      <c r="O23" s="70"/>
      <c r="P23" s="13"/>
      <c r="U23" s="70"/>
      <c r="V23" s="70"/>
      <c r="W23" s="70"/>
      <c r="X23" s="70"/>
      <c r="Y23" s="70"/>
      <c r="Z23" s="70"/>
      <c r="AD23" s="86"/>
      <c r="AE23" s="86"/>
      <c r="AF23" s="86"/>
      <c r="AG23" s="94"/>
      <c r="AH23" s="94"/>
      <c r="AI23" s="94"/>
      <c r="AJ23" s="94"/>
      <c r="AK23" s="94"/>
    </row>
    <row r="24">
      <c r="A24" s="12"/>
      <c r="B24" s="71"/>
      <c r="C24" s="33" t="s">
        <v>41</v>
      </c>
      <c r="D24" s="1" t="s">
        <v>54</v>
      </c>
      <c r="F24" s="34"/>
      <c r="G24" s="71"/>
      <c r="H24" s="19"/>
      <c r="O24" s="61"/>
      <c r="P24" s="13"/>
      <c r="U24" s="60"/>
      <c r="V24" s="60"/>
      <c r="W24" s="60"/>
      <c r="X24" s="60"/>
      <c r="Y24" s="61"/>
      <c r="Z24" s="61"/>
      <c r="AD24" s="87"/>
      <c r="AE24" s="87"/>
      <c r="AF24" s="87"/>
      <c r="AG24" s="87"/>
      <c r="AH24" s="87"/>
      <c r="AI24" s="87"/>
      <c r="AJ24" s="87"/>
      <c r="AK24" s="87"/>
    </row>
    <row r="25">
      <c r="B25" s="70"/>
      <c r="C25" s="33" t="s">
        <v>55</v>
      </c>
      <c r="D25" s="1" t="s">
        <v>56</v>
      </c>
      <c r="F25" s="34"/>
      <c r="G25" s="71"/>
      <c r="H25" s="13"/>
      <c r="O25" s="70"/>
      <c r="P25" s="13"/>
      <c r="U25" s="70"/>
      <c r="V25" s="88"/>
      <c r="W25" s="88"/>
      <c r="X25" s="70"/>
      <c r="Y25" s="70"/>
      <c r="Z25" s="70"/>
      <c r="AD25" s="71"/>
      <c r="AE25" s="71"/>
      <c r="AF25" s="71"/>
      <c r="AG25" s="95"/>
      <c r="AH25" s="95"/>
      <c r="AI25" s="95"/>
      <c r="AJ25" s="95"/>
      <c r="AK25" s="96"/>
    </row>
    <row r="26">
      <c r="A26" s="97"/>
      <c r="B26" s="68"/>
      <c r="C26" s="33" t="s">
        <v>40</v>
      </c>
      <c r="D26" s="1" t="s">
        <v>57</v>
      </c>
      <c r="F26" s="34"/>
      <c r="G26" s="70"/>
      <c r="H26" s="13"/>
      <c r="O26" s="70"/>
      <c r="P26" s="13"/>
      <c r="U26" s="20"/>
      <c r="V26" s="13"/>
      <c r="AD26" s="71"/>
      <c r="AE26" s="71"/>
      <c r="AF26" s="71"/>
      <c r="AG26" s="98"/>
      <c r="AH26" s="98"/>
      <c r="AI26" s="98"/>
      <c r="AJ26" s="98"/>
      <c r="AK26" s="99"/>
    </row>
    <row r="27">
      <c r="A27" s="97"/>
      <c r="B27" s="60"/>
      <c r="C27" s="33" t="s">
        <v>58</v>
      </c>
      <c r="D27" s="1" t="s">
        <v>59</v>
      </c>
      <c r="F27" s="34"/>
      <c r="G27" s="61"/>
      <c r="H27" s="13"/>
      <c r="O27" s="25"/>
      <c r="U27" s="20"/>
      <c r="V27" s="89"/>
      <c r="AD27" s="70"/>
      <c r="AE27" s="70"/>
      <c r="AF27" s="70"/>
      <c r="AG27" s="98"/>
      <c r="AH27" s="98"/>
      <c r="AI27" s="98"/>
      <c r="AJ27" s="98"/>
      <c r="AK27" s="99"/>
    </row>
    <row r="28">
      <c r="A28" s="87"/>
      <c r="B28" s="70"/>
      <c r="C28" s="33" t="s">
        <v>60</v>
      </c>
      <c r="D28" s="1" t="s">
        <v>61</v>
      </c>
      <c r="F28" s="34"/>
      <c r="G28" s="70"/>
      <c r="H28" s="55"/>
      <c r="O28" s="25"/>
      <c r="U28" s="20"/>
      <c r="AD28" s="61"/>
      <c r="AE28" s="61"/>
      <c r="AF28" s="61"/>
      <c r="AG28" s="98"/>
      <c r="AH28" s="98"/>
      <c r="AI28" s="98"/>
      <c r="AJ28" s="98"/>
      <c r="AK28" s="99"/>
    </row>
    <row r="29">
      <c r="A29" s="87"/>
      <c r="B29" s="70"/>
      <c r="C29" s="33" t="s">
        <v>44</v>
      </c>
      <c r="D29" s="1" t="s">
        <v>62</v>
      </c>
      <c r="F29" s="34"/>
      <c r="G29" s="70"/>
      <c r="O29" s="20"/>
      <c r="AD29" s="70"/>
      <c r="AE29" s="70"/>
      <c r="AF29" s="70"/>
      <c r="AG29" s="98"/>
      <c r="AH29" s="98"/>
      <c r="AI29" s="98"/>
      <c r="AJ29" s="98"/>
      <c r="AK29" s="99"/>
    </row>
    <row r="30">
      <c r="A30" s="71"/>
      <c r="B30" s="25"/>
      <c r="C30" s="33" t="s">
        <v>63</v>
      </c>
      <c r="D30" s="1" t="s">
        <v>64</v>
      </c>
      <c r="F30" s="34"/>
      <c r="G30" s="25"/>
      <c r="AD30" s="25"/>
      <c r="AE30" s="25"/>
      <c r="AF30" s="25"/>
      <c r="AG30" s="68"/>
      <c r="AH30" s="68"/>
      <c r="AI30" s="68"/>
      <c r="AJ30" s="98"/>
      <c r="AK30" s="68"/>
    </row>
    <row r="31">
      <c r="A31" s="71"/>
      <c r="B31" s="25"/>
      <c r="C31" s="33" t="s">
        <v>65</v>
      </c>
      <c r="D31" s="1" t="s">
        <v>66</v>
      </c>
      <c r="F31" s="34"/>
      <c r="G31" s="25"/>
      <c r="AD31" s="25"/>
      <c r="AE31" s="25"/>
      <c r="AF31" s="25"/>
      <c r="AG31" s="68"/>
      <c r="AH31" s="68"/>
      <c r="AI31" s="68"/>
      <c r="AJ31" s="68"/>
      <c r="AK31" s="68"/>
    </row>
    <row r="32">
      <c r="C32" s="33" t="s">
        <v>46</v>
      </c>
      <c r="D32" s="1" t="s">
        <v>67</v>
      </c>
      <c r="F32" s="34"/>
    </row>
    <row r="33">
      <c r="C33" s="35" t="s">
        <v>68</v>
      </c>
      <c r="D33" s="36" t="s">
        <v>69</v>
      </c>
      <c r="E33" s="8"/>
      <c r="F33" s="37"/>
    </row>
    <row r="34">
      <c r="AG34" s="22"/>
      <c r="AH34" s="22"/>
      <c r="AI34" s="22"/>
      <c r="AJ34" s="22"/>
      <c r="AK34" s="22"/>
    </row>
    <row r="35">
      <c r="AG35" s="22"/>
      <c r="AH35" s="22"/>
      <c r="AI35" s="22"/>
      <c r="AJ35" s="22"/>
      <c r="AK35" s="22"/>
    </row>
    <row r="49">
      <c r="E49" s="1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E52" s="69"/>
      <c r="F52" s="69"/>
      <c r="G52" s="69"/>
      <c r="H52" s="69"/>
      <c r="I52" s="69"/>
      <c r="J52" s="69"/>
      <c r="K52" s="69"/>
      <c r="L52" s="60"/>
      <c r="M52" s="60"/>
      <c r="N52" s="60"/>
      <c r="O52" s="60"/>
      <c r="P52" s="61"/>
      <c r="Q52" s="61"/>
      <c r="R52" s="61"/>
      <c r="S52" s="70"/>
      <c r="T52" s="70"/>
      <c r="U52" s="70"/>
    </row>
    <row r="53"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0"/>
      <c r="T53" s="60"/>
      <c r="U53" s="60"/>
    </row>
    <row r="54">
      <c r="E54" s="60"/>
      <c r="F54" s="60"/>
      <c r="G54" s="60"/>
      <c r="H54" s="60"/>
      <c r="I54" s="60"/>
      <c r="J54" s="61"/>
      <c r="K54" s="61"/>
      <c r="L54" s="70"/>
      <c r="M54" s="70"/>
      <c r="N54" s="70"/>
      <c r="O54" s="70"/>
      <c r="P54" s="70"/>
      <c r="Q54" s="70"/>
      <c r="R54" s="70"/>
      <c r="S54" s="70"/>
      <c r="T54" s="70"/>
      <c r="U54" s="70"/>
    </row>
    <row r="5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</sheetData>
  <mergeCells count="16">
    <mergeCell ref="B1:AC3"/>
    <mergeCell ref="B14:AF14"/>
    <mergeCell ref="C21:F21"/>
    <mergeCell ref="D22:F22"/>
    <mergeCell ref="D23:F23"/>
    <mergeCell ref="D24:F24"/>
    <mergeCell ref="D25:F25"/>
    <mergeCell ref="D32:F32"/>
    <mergeCell ref="D33:F33"/>
    <mergeCell ref="D26:F26"/>
    <mergeCell ref="D27:F27"/>
    <mergeCell ref="V27:AC29"/>
    <mergeCell ref="D28:F28"/>
    <mergeCell ref="D29:F29"/>
    <mergeCell ref="D30:F30"/>
    <mergeCell ref="D31:F31"/>
  </mergeCells>
  <conditionalFormatting sqref="B9:H9 U26 E54:K54">
    <cfRule type="cellIs" dxfId="0" priority="1" operator="equal">
      <formula>"X"</formula>
    </cfRule>
  </conditionalFormatting>
  <conditionalFormatting sqref="B9:H9 U26 E54:K54">
    <cfRule type="cellIs" dxfId="1" priority="2" operator="equal">
      <formula>"D"</formula>
    </cfRule>
  </conditionalFormatting>
  <conditionalFormatting sqref="B9:H9 U26 E54:K54">
    <cfRule type="cellIs" dxfId="2" priority="3" operator="equal">
      <formula>"N"</formula>
    </cfRule>
  </conditionalFormatting>
  <conditionalFormatting sqref="B9:H9 U26 E54:K54">
    <cfRule type="cellIs" dxfId="3" priority="4" operator="equal">
      <formula>"OB"</formula>
    </cfRule>
  </conditionalFormatting>
  <conditionalFormatting sqref="B9:H9 U26 E54:K54">
    <cfRule type="cellIs" dxfId="0" priority="5" operator="equal">
      <formula>"C"</formula>
    </cfRule>
  </conditionalFormatting>
  <conditionalFormatting sqref="B9:H9 U26 E54:K54">
    <cfRule type="cellIs" dxfId="0" priority="6" operator="equal">
      <formula>"AL"</formula>
    </cfRule>
  </conditionalFormatting>
  <conditionalFormatting sqref="B9:H9 U26 E54:K54">
    <cfRule type="cellIs" dxfId="4" priority="7" operator="equal">
      <formula>"UP"</formula>
    </cfRule>
  </conditionalFormatting>
  <conditionalFormatting sqref="B9:H9 U26 E54:K54">
    <cfRule type="cellIs" dxfId="0" priority="8" operator="equal">
      <formula>"S"</formula>
    </cfRule>
  </conditionalFormatting>
  <conditionalFormatting sqref="B9:H9 U26 E54:K54">
    <cfRule type="cellIs" dxfId="5" priority="9" operator="equal">
      <formula>"OC"</formula>
    </cfRule>
  </conditionalFormatting>
  <conditionalFormatting sqref="B9:H9 U26 E54:K54">
    <cfRule type="cellIs" dxfId="6" priority="10" operator="equal">
      <formula>"SPV"</formula>
    </cfRule>
  </conditionalFormatting>
  <conditionalFormatting sqref="B9:H9 U26 E54:K54">
    <cfRule type="cellIs" dxfId="7" priority="11" operator="equal">
      <formula>"INT"</formula>
    </cfRule>
  </conditionalFormatting>
  <conditionalFormatting sqref="B9:H9 U26 E54:K54">
    <cfRule type="cellIs" dxfId="8" priority="12" operator="equal">
      <formula>"T"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0" priority="13" operator="equal">
      <formula>"X"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1" priority="14" operator="equal">
      <formula>"D"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2" priority="15" operator="equal">
      <formula>"N"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3" priority="16" operator="equal">
      <formula>"OB"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0" priority="17" operator="equal">
      <formula>"C"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0" priority="18" operator="equal">
      <formula>"AL"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4" priority="19" operator="equal">
      <formula>"UP"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0" priority="20" operator="equal">
      <formula>"S"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5" priority="21" operator="equal">
      <formula>"OC"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6" priority="22" operator="equal">
      <formula>"SPV"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7" priority="23" operator="equal">
      <formula>"INT"</formula>
    </cfRule>
  </conditionalFormatting>
  <conditionalFormatting sqref="B6:AF11 A11 B15:AF17 C21:F29 B22:B29 G22:G29 I22:I29 J22 K22:O29 Q22:Z29 H23:H26 P23:P29 AA23:AF29 J24:J29 H28:H29 C33 K34:P40 Q34:Q38 U34:AB37 S35:T37 T39:W40 J40 E51:U55">
    <cfRule type="cellIs" dxfId="8" priority="24" operator="equal">
      <formula>"T"</formula>
    </cfRule>
  </conditionalFormatting>
  <conditionalFormatting sqref="C32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4.63"/>
    <col customWidth="1" min="3" max="34" width="4.5"/>
    <col customWidth="1" min="35" max="36" width="6.88"/>
    <col customWidth="1" min="37" max="47" width="14.13"/>
  </cols>
  <sheetData>
    <row r="1">
      <c r="B1" s="91" t="s">
        <v>144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>
      <c r="B2" s="5"/>
      <c r="AD2" s="83"/>
      <c r="AE2" s="83"/>
      <c r="AF2" s="83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92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>
      <c r="A4" s="6"/>
      <c r="B4" s="10" t="s">
        <v>8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2</v>
      </c>
      <c r="K4" s="10" t="s">
        <v>3</v>
      </c>
      <c r="L4" s="10" t="s">
        <v>4</v>
      </c>
      <c r="M4" s="10" t="s">
        <v>5</v>
      </c>
      <c r="N4" s="10" t="s">
        <v>6</v>
      </c>
      <c r="O4" s="10" t="s">
        <v>7</v>
      </c>
      <c r="P4" s="10" t="s">
        <v>8</v>
      </c>
      <c r="Q4" s="10" t="s">
        <v>2</v>
      </c>
      <c r="R4" s="10" t="s">
        <v>3</v>
      </c>
      <c r="S4" s="10" t="s">
        <v>4</v>
      </c>
      <c r="T4" s="10" t="s">
        <v>5</v>
      </c>
      <c r="U4" s="10" t="s">
        <v>6</v>
      </c>
      <c r="V4" s="10" t="s">
        <v>7</v>
      </c>
      <c r="W4" s="10" t="s">
        <v>8</v>
      </c>
      <c r="X4" s="10" t="s">
        <v>2</v>
      </c>
      <c r="Y4" s="13" t="s">
        <v>3</v>
      </c>
      <c r="Z4" s="10" t="s">
        <v>4</v>
      </c>
      <c r="AA4" s="10" t="s">
        <v>5</v>
      </c>
      <c r="AB4" s="10" t="s">
        <v>6</v>
      </c>
      <c r="AC4" s="10" t="s">
        <v>7</v>
      </c>
      <c r="AD4" s="42" t="s">
        <v>8</v>
      </c>
      <c r="AE4" s="42" t="s">
        <v>2</v>
      </c>
      <c r="AF4" s="13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145</v>
      </c>
      <c r="AE5" s="13" t="s">
        <v>37</v>
      </c>
      <c r="AF5" s="13" t="s">
        <v>70</v>
      </c>
      <c r="AG5" s="44" t="s">
        <v>38</v>
      </c>
      <c r="AH5" s="45" t="s">
        <v>39</v>
      </c>
      <c r="AI5" s="46" t="s">
        <v>40</v>
      </c>
      <c r="AJ5" s="48" t="s">
        <v>42</v>
      </c>
      <c r="AK5" s="54" t="s">
        <v>76</v>
      </c>
      <c r="AL5" s="96"/>
      <c r="AM5" s="96"/>
      <c r="AN5" s="96"/>
      <c r="AO5" s="96"/>
      <c r="AP5" s="96"/>
      <c r="AQ5" s="96"/>
      <c r="AR5" s="96"/>
      <c r="AS5" s="96"/>
      <c r="AT5" s="96"/>
      <c r="AU5" s="96"/>
    </row>
    <row r="6">
      <c r="A6" s="19" t="s">
        <v>137</v>
      </c>
      <c r="B6" s="71" t="s">
        <v>38</v>
      </c>
      <c r="C6" s="71" t="s">
        <v>40</v>
      </c>
      <c r="D6" s="71" t="s">
        <v>44</v>
      </c>
      <c r="E6" s="71" t="s">
        <v>44</v>
      </c>
      <c r="F6" s="71" t="s">
        <v>44</v>
      </c>
      <c r="G6" s="71" t="s">
        <v>44</v>
      </c>
      <c r="H6" s="71" t="s">
        <v>44</v>
      </c>
      <c r="I6" s="71" t="s">
        <v>40</v>
      </c>
      <c r="J6" s="71" t="s">
        <v>40</v>
      </c>
      <c r="K6" s="71" t="s">
        <v>44</v>
      </c>
      <c r="L6" s="71" t="s">
        <v>44</v>
      </c>
      <c r="M6" s="71" t="s">
        <v>60</v>
      </c>
      <c r="N6" s="71" t="s">
        <v>40</v>
      </c>
      <c r="O6" s="71" t="s">
        <v>40</v>
      </c>
      <c r="P6" s="71" t="s">
        <v>39</v>
      </c>
      <c r="Q6" s="71" t="s">
        <v>39</v>
      </c>
      <c r="R6" s="71" t="s">
        <v>40</v>
      </c>
      <c r="S6" s="71" t="s">
        <v>40</v>
      </c>
      <c r="T6" s="71" t="s">
        <v>39</v>
      </c>
      <c r="U6" s="71" t="s">
        <v>39</v>
      </c>
      <c r="V6" s="71" t="s">
        <v>40</v>
      </c>
      <c r="W6" s="71" t="s">
        <v>40</v>
      </c>
      <c r="X6" s="71" t="s">
        <v>39</v>
      </c>
      <c r="Y6" s="71" t="s">
        <v>39</v>
      </c>
      <c r="Z6" s="71" t="s">
        <v>40</v>
      </c>
      <c r="AA6" s="71" t="s">
        <v>40</v>
      </c>
      <c r="AB6" s="71" t="s">
        <v>38</v>
      </c>
      <c r="AC6" s="71" t="s">
        <v>38</v>
      </c>
      <c r="AD6" s="71" t="s">
        <v>40</v>
      </c>
      <c r="AE6" s="71" t="s">
        <v>40</v>
      </c>
      <c r="AF6" s="71" t="s">
        <v>38</v>
      </c>
      <c r="AG6" s="49">
        <f t="shared" ref="AG6:AG11" si="1">COUNTIF(B6:AF6,"D")</f>
        <v>4</v>
      </c>
      <c r="AH6" s="49">
        <f t="shared" ref="AH6:AH11" si="2">COUNTIF(B6:AF6,"N")</f>
        <v>6</v>
      </c>
      <c r="AI6" s="49">
        <f t="shared" ref="AI6:AI11" si="3">COUNTIF(B6:AF6,"X")</f>
        <v>13</v>
      </c>
      <c r="AJ6" s="49">
        <f t="shared" ref="AJ6:AJ11" si="4">AG6+AH6</f>
        <v>10</v>
      </c>
      <c r="AK6" s="84">
        <f t="shared" ref="AK6:AK11" si="5">(AJ6*12)/4.2</f>
        <v>28.57142857</v>
      </c>
      <c r="AL6" s="99"/>
      <c r="AM6" s="99"/>
      <c r="AN6" s="99"/>
      <c r="AO6" s="99"/>
      <c r="AP6" s="99"/>
      <c r="AQ6" s="99"/>
      <c r="AR6" s="99"/>
      <c r="AS6" s="99"/>
      <c r="AT6" s="99"/>
      <c r="AU6" s="99"/>
    </row>
    <row r="7">
      <c r="A7" s="19" t="s">
        <v>43</v>
      </c>
      <c r="B7" s="69" t="s">
        <v>39</v>
      </c>
      <c r="C7" s="69" t="s">
        <v>39</v>
      </c>
      <c r="D7" s="69" t="s">
        <v>40</v>
      </c>
      <c r="E7" s="69" t="s">
        <v>40</v>
      </c>
      <c r="F7" s="69" t="s">
        <v>39</v>
      </c>
      <c r="G7" s="69" t="s">
        <v>60</v>
      </c>
      <c r="H7" s="69" t="s">
        <v>40</v>
      </c>
      <c r="I7" s="60" t="s">
        <v>40</v>
      </c>
      <c r="J7" s="60" t="s">
        <v>38</v>
      </c>
      <c r="K7" s="60" t="s">
        <v>38</v>
      </c>
      <c r="L7" s="60" t="s">
        <v>38</v>
      </c>
      <c r="M7" s="61" t="s">
        <v>40</v>
      </c>
      <c r="N7" s="61" t="s">
        <v>40</v>
      </c>
      <c r="O7" s="61" t="s">
        <v>38</v>
      </c>
      <c r="P7" s="70" t="s">
        <v>40</v>
      </c>
      <c r="Q7" s="70" t="s">
        <v>40</v>
      </c>
      <c r="R7" s="70" t="s">
        <v>38</v>
      </c>
      <c r="S7" s="70" t="s">
        <v>38</v>
      </c>
      <c r="T7" s="70" t="s">
        <v>40</v>
      </c>
      <c r="U7" s="70" t="s">
        <v>40</v>
      </c>
      <c r="V7" s="70" t="s">
        <v>38</v>
      </c>
      <c r="W7" s="71" t="s">
        <v>38</v>
      </c>
      <c r="X7" s="70" t="s">
        <v>40</v>
      </c>
      <c r="Y7" s="71" t="s">
        <v>40</v>
      </c>
      <c r="Z7" s="71" t="s">
        <v>39</v>
      </c>
      <c r="AA7" s="71" t="s">
        <v>39</v>
      </c>
      <c r="AB7" s="71" t="s">
        <v>39</v>
      </c>
      <c r="AC7" s="71" t="s">
        <v>40</v>
      </c>
      <c r="AD7" s="71" t="s">
        <v>40</v>
      </c>
      <c r="AE7" s="71" t="s">
        <v>40</v>
      </c>
      <c r="AF7" s="71" t="s">
        <v>60</v>
      </c>
      <c r="AG7" s="49">
        <f t="shared" si="1"/>
        <v>8</v>
      </c>
      <c r="AH7" s="49">
        <f t="shared" si="2"/>
        <v>6</v>
      </c>
      <c r="AI7" s="49">
        <f t="shared" si="3"/>
        <v>15</v>
      </c>
      <c r="AJ7" s="49">
        <f t="shared" si="4"/>
        <v>14</v>
      </c>
      <c r="AK7" s="84">
        <f t="shared" si="5"/>
        <v>40</v>
      </c>
      <c r="AL7" s="99"/>
      <c r="AM7" s="99"/>
      <c r="AN7" s="99"/>
      <c r="AO7" s="99"/>
      <c r="AP7" s="99"/>
      <c r="AQ7" s="99"/>
      <c r="AR7" s="99"/>
      <c r="AS7" s="99"/>
      <c r="AT7" s="99"/>
      <c r="AU7" s="99"/>
    </row>
    <row r="8">
      <c r="A8" s="13" t="s">
        <v>84</v>
      </c>
      <c r="B8" s="69" t="s">
        <v>40</v>
      </c>
      <c r="C8" s="69" t="s">
        <v>58</v>
      </c>
      <c r="D8" s="69" t="s">
        <v>58</v>
      </c>
      <c r="E8" s="69" t="s">
        <v>40</v>
      </c>
      <c r="F8" s="69" t="s">
        <v>38</v>
      </c>
      <c r="G8" s="69" t="s">
        <v>38</v>
      </c>
      <c r="H8" s="69" t="s">
        <v>40</v>
      </c>
      <c r="I8" s="69" t="s">
        <v>39</v>
      </c>
      <c r="J8" s="69" t="s">
        <v>39</v>
      </c>
      <c r="K8" s="69" t="s">
        <v>40</v>
      </c>
      <c r="L8" s="69" t="s">
        <v>40</v>
      </c>
      <c r="M8" s="69" t="s">
        <v>39</v>
      </c>
      <c r="N8" s="69" t="s">
        <v>39</v>
      </c>
      <c r="O8" s="69" t="s">
        <v>39</v>
      </c>
      <c r="P8" s="60" t="s">
        <v>40</v>
      </c>
      <c r="Q8" s="60" t="s">
        <v>40</v>
      </c>
      <c r="R8" s="60" t="s">
        <v>39</v>
      </c>
      <c r="S8" s="60" t="s">
        <v>39</v>
      </c>
      <c r="T8" s="60" t="s">
        <v>40</v>
      </c>
      <c r="U8" s="61" t="s">
        <v>40</v>
      </c>
      <c r="V8" s="61" t="s">
        <v>39</v>
      </c>
      <c r="W8" s="70" t="s">
        <v>39</v>
      </c>
      <c r="X8" s="1" t="s">
        <v>40</v>
      </c>
      <c r="Y8" s="70" t="s">
        <v>40</v>
      </c>
      <c r="Z8" s="70" t="s">
        <v>38</v>
      </c>
      <c r="AA8" s="70" t="s">
        <v>38</v>
      </c>
      <c r="AB8" s="70" t="s">
        <v>40</v>
      </c>
      <c r="AC8" s="70" t="s">
        <v>40</v>
      </c>
      <c r="AD8" s="70" t="s">
        <v>38</v>
      </c>
      <c r="AE8" s="70" t="s">
        <v>38</v>
      </c>
      <c r="AF8" s="70" t="s">
        <v>40</v>
      </c>
      <c r="AG8" s="49">
        <f t="shared" si="1"/>
        <v>6</v>
      </c>
      <c r="AH8" s="49">
        <f t="shared" si="2"/>
        <v>9</v>
      </c>
      <c r="AI8" s="49">
        <f t="shared" si="3"/>
        <v>14</v>
      </c>
      <c r="AJ8" s="49">
        <f t="shared" si="4"/>
        <v>15</v>
      </c>
      <c r="AK8" s="84">
        <f t="shared" si="5"/>
        <v>42.85714286</v>
      </c>
      <c r="AL8" s="99"/>
      <c r="AM8" s="99"/>
      <c r="AN8" s="99"/>
      <c r="AO8" s="99"/>
      <c r="AP8" s="99"/>
      <c r="AQ8" s="99"/>
      <c r="AR8" s="99"/>
      <c r="AS8" s="99"/>
      <c r="AT8" s="99"/>
      <c r="AU8" s="99"/>
    </row>
    <row r="9">
      <c r="A9" s="13" t="s">
        <v>48</v>
      </c>
      <c r="B9" s="60" t="s">
        <v>40</v>
      </c>
      <c r="C9" s="60" t="s">
        <v>40</v>
      </c>
      <c r="D9" s="60" t="s">
        <v>68</v>
      </c>
      <c r="E9" s="60" t="s">
        <v>39</v>
      </c>
      <c r="F9" s="60" t="s">
        <v>68</v>
      </c>
      <c r="G9" s="61" t="s">
        <v>68</v>
      </c>
      <c r="H9" s="61" t="s">
        <v>38</v>
      </c>
      <c r="I9" s="70" t="s">
        <v>38</v>
      </c>
      <c r="J9" s="70" t="s">
        <v>40</v>
      </c>
      <c r="K9" s="70" t="s">
        <v>40</v>
      </c>
      <c r="L9" s="70" t="s">
        <v>40</v>
      </c>
      <c r="M9" s="70" t="s">
        <v>65</v>
      </c>
      <c r="N9" s="70" t="s">
        <v>65</v>
      </c>
      <c r="O9" s="70" t="s">
        <v>40</v>
      </c>
      <c r="P9" s="70" t="s">
        <v>60</v>
      </c>
      <c r="Q9" s="70" t="s">
        <v>38</v>
      </c>
      <c r="R9" s="70" t="s">
        <v>40</v>
      </c>
      <c r="S9" s="70" t="s">
        <v>40</v>
      </c>
      <c r="T9" s="70" t="s">
        <v>38</v>
      </c>
      <c r="U9" s="70" t="s">
        <v>38</v>
      </c>
      <c r="V9" s="70" t="s">
        <v>40</v>
      </c>
      <c r="W9" s="60" t="s">
        <v>40</v>
      </c>
      <c r="X9" s="60" t="s">
        <v>38</v>
      </c>
      <c r="Y9" s="60" t="s">
        <v>38</v>
      </c>
      <c r="AA9" s="60" t="s">
        <v>40</v>
      </c>
      <c r="AB9" s="61" t="s">
        <v>40</v>
      </c>
      <c r="AC9" s="61" t="s">
        <v>60</v>
      </c>
      <c r="AD9" s="61" t="s">
        <v>40</v>
      </c>
      <c r="AE9" s="61" t="s">
        <v>39</v>
      </c>
      <c r="AF9" s="61" t="s">
        <v>39</v>
      </c>
      <c r="AG9" s="49">
        <f t="shared" si="1"/>
        <v>7</v>
      </c>
      <c r="AH9" s="49">
        <f t="shared" si="2"/>
        <v>3</v>
      </c>
      <c r="AI9" s="49">
        <f t="shared" si="3"/>
        <v>13</v>
      </c>
      <c r="AJ9" s="49">
        <f t="shared" si="4"/>
        <v>10</v>
      </c>
      <c r="AK9" s="84">
        <f t="shared" si="5"/>
        <v>28.57142857</v>
      </c>
      <c r="AL9" s="99"/>
      <c r="AM9" s="99"/>
      <c r="AN9" s="99"/>
      <c r="AO9" s="99"/>
      <c r="AP9" s="99"/>
      <c r="AQ9" s="99"/>
      <c r="AR9" s="99"/>
      <c r="AS9" s="99"/>
      <c r="AT9" s="99"/>
      <c r="AU9" s="99"/>
    </row>
    <row r="10">
      <c r="A10" s="13" t="s">
        <v>138</v>
      </c>
      <c r="B10" s="69" t="s">
        <v>40</v>
      </c>
      <c r="C10" s="69" t="s">
        <v>38</v>
      </c>
      <c r="D10" s="69" t="s">
        <v>39</v>
      </c>
      <c r="E10" s="69" t="s">
        <v>40</v>
      </c>
      <c r="F10" s="69" t="s">
        <v>60</v>
      </c>
      <c r="G10" s="69" t="s">
        <v>39</v>
      </c>
      <c r="H10" s="69" t="s">
        <v>39</v>
      </c>
      <c r="I10" s="69" t="s">
        <v>40</v>
      </c>
      <c r="J10" s="69" t="s">
        <v>40</v>
      </c>
      <c r="K10" s="69" t="s">
        <v>39</v>
      </c>
      <c r="L10" s="69" t="s">
        <v>39</v>
      </c>
      <c r="M10" s="69" t="s">
        <v>40</v>
      </c>
      <c r="N10" s="69" t="s">
        <v>40</v>
      </c>
      <c r="O10" s="69" t="s">
        <v>60</v>
      </c>
      <c r="P10" s="69" t="s">
        <v>38</v>
      </c>
      <c r="Q10" s="69" t="s">
        <v>44</v>
      </c>
      <c r="R10" s="69" t="s">
        <v>44</v>
      </c>
      <c r="S10" s="69" t="s">
        <v>44</v>
      </c>
      <c r="T10" s="69" t="s">
        <v>44</v>
      </c>
      <c r="U10" s="69" t="s">
        <v>44</v>
      </c>
      <c r="V10" s="69" t="s">
        <v>40</v>
      </c>
      <c r="W10" s="70" t="s">
        <v>40</v>
      </c>
      <c r="X10" s="70" t="s">
        <v>44</v>
      </c>
      <c r="Y10" s="70" t="s">
        <v>44</v>
      </c>
      <c r="Z10" s="70" t="s">
        <v>44</v>
      </c>
      <c r="AA10" s="70" t="s">
        <v>44</v>
      </c>
      <c r="AB10" s="70" t="s">
        <v>44</v>
      </c>
      <c r="AC10" s="70" t="s">
        <v>39</v>
      </c>
      <c r="AD10" s="70" t="s">
        <v>39</v>
      </c>
      <c r="AE10" s="70" t="s">
        <v>40</v>
      </c>
      <c r="AF10" s="70" t="s">
        <v>40</v>
      </c>
      <c r="AG10" s="49">
        <f t="shared" si="1"/>
        <v>2</v>
      </c>
      <c r="AH10" s="49">
        <f t="shared" si="2"/>
        <v>7</v>
      </c>
      <c r="AI10" s="49">
        <f t="shared" si="3"/>
        <v>10</v>
      </c>
      <c r="AJ10" s="49">
        <f t="shared" si="4"/>
        <v>9</v>
      </c>
      <c r="AK10" s="84">
        <f t="shared" si="5"/>
        <v>25.71428571</v>
      </c>
      <c r="AL10" s="99"/>
      <c r="AM10" s="99"/>
      <c r="AN10" s="99"/>
      <c r="AO10" s="99"/>
      <c r="AP10" s="99"/>
      <c r="AQ10" s="99"/>
      <c r="AR10" s="99"/>
      <c r="AS10" s="99"/>
      <c r="AT10" s="99"/>
      <c r="AU10" s="99"/>
    </row>
    <row r="11">
      <c r="A11" s="88" t="s">
        <v>47</v>
      </c>
      <c r="B11" s="69" t="s">
        <v>40</v>
      </c>
      <c r="C11" s="69" t="s">
        <v>41</v>
      </c>
      <c r="D11" s="69" t="s">
        <v>38</v>
      </c>
      <c r="E11" s="69" t="s">
        <v>38</v>
      </c>
      <c r="F11" s="69" t="s">
        <v>41</v>
      </c>
      <c r="G11" s="69" t="s">
        <v>41</v>
      </c>
      <c r="H11" s="69" t="s">
        <v>40</v>
      </c>
      <c r="I11" s="69" t="s">
        <v>40</v>
      </c>
      <c r="J11" s="69" t="s">
        <v>41</v>
      </c>
      <c r="K11" s="69" t="s">
        <v>41</v>
      </c>
      <c r="L11" s="69" t="s">
        <v>68</v>
      </c>
      <c r="M11" s="69" t="s">
        <v>38</v>
      </c>
      <c r="N11" s="69" t="s">
        <v>38</v>
      </c>
      <c r="O11" s="69" t="s">
        <v>40</v>
      </c>
      <c r="P11" s="69" t="s">
        <v>40</v>
      </c>
      <c r="Q11" s="69" t="s">
        <v>41</v>
      </c>
      <c r="R11" s="69" t="s">
        <v>41</v>
      </c>
      <c r="S11" s="69" t="s">
        <v>41</v>
      </c>
      <c r="T11" s="69" t="s">
        <v>41</v>
      </c>
      <c r="U11" s="69" t="s">
        <v>41</v>
      </c>
      <c r="V11" s="69" t="s">
        <v>40</v>
      </c>
      <c r="W11" s="70" t="s">
        <v>40</v>
      </c>
      <c r="X11" s="70" t="s">
        <v>41</v>
      </c>
      <c r="Y11" s="70" t="s">
        <v>41</v>
      </c>
      <c r="Z11" s="70" t="s">
        <v>41</v>
      </c>
      <c r="AA11" s="70" t="s">
        <v>41</v>
      </c>
      <c r="AB11" s="70" t="s">
        <v>46</v>
      </c>
      <c r="AC11" s="70" t="s">
        <v>46</v>
      </c>
      <c r="AD11" s="70" t="s">
        <v>46</v>
      </c>
      <c r="AE11" s="70" t="s">
        <v>46</v>
      </c>
      <c r="AF11" s="70" t="s">
        <v>46</v>
      </c>
      <c r="AG11" s="49">
        <f t="shared" si="1"/>
        <v>4</v>
      </c>
      <c r="AH11" s="49">
        <f t="shared" si="2"/>
        <v>0</v>
      </c>
      <c r="AI11" s="49">
        <f t="shared" si="3"/>
        <v>7</v>
      </c>
      <c r="AJ11" s="49">
        <f t="shared" si="4"/>
        <v>4</v>
      </c>
      <c r="AK11" s="84">
        <f t="shared" si="5"/>
        <v>11.42857143</v>
      </c>
      <c r="AL11" s="99"/>
      <c r="AM11" s="99"/>
      <c r="AN11" s="99"/>
      <c r="AO11" s="99"/>
      <c r="AP11" s="99"/>
      <c r="AQ11" s="99"/>
      <c r="AR11" s="99"/>
      <c r="AS11" s="99"/>
      <c r="AT11" s="99"/>
      <c r="AU11" s="99"/>
    </row>
    <row r="12">
      <c r="A12" s="23" t="s">
        <v>49</v>
      </c>
      <c r="B12" s="24">
        <f t="shared" ref="B12:AF12" si="6">COUNTIF(B6:B11,"D")</f>
        <v>1</v>
      </c>
      <c r="C12" s="24">
        <f t="shared" si="6"/>
        <v>1</v>
      </c>
      <c r="D12" s="24">
        <f t="shared" si="6"/>
        <v>1</v>
      </c>
      <c r="E12" s="24">
        <f t="shared" si="6"/>
        <v>1</v>
      </c>
      <c r="F12" s="24">
        <f t="shared" si="6"/>
        <v>1</v>
      </c>
      <c r="G12" s="24">
        <f t="shared" si="6"/>
        <v>1</v>
      </c>
      <c r="H12" s="24">
        <f t="shared" si="6"/>
        <v>1</v>
      </c>
      <c r="I12" s="24">
        <f t="shared" si="6"/>
        <v>1</v>
      </c>
      <c r="J12" s="24">
        <f t="shared" si="6"/>
        <v>1</v>
      </c>
      <c r="K12" s="24">
        <f t="shared" si="6"/>
        <v>1</v>
      </c>
      <c r="L12" s="24">
        <f t="shared" si="6"/>
        <v>1</v>
      </c>
      <c r="M12" s="24">
        <f t="shared" si="6"/>
        <v>1</v>
      </c>
      <c r="N12" s="24">
        <f t="shared" si="6"/>
        <v>1</v>
      </c>
      <c r="O12" s="24">
        <f t="shared" si="6"/>
        <v>1</v>
      </c>
      <c r="P12" s="24">
        <f t="shared" si="6"/>
        <v>1</v>
      </c>
      <c r="Q12" s="24">
        <f t="shared" si="6"/>
        <v>1</v>
      </c>
      <c r="R12" s="24">
        <f t="shared" si="6"/>
        <v>1</v>
      </c>
      <c r="S12" s="24">
        <f t="shared" si="6"/>
        <v>1</v>
      </c>
      <c r="T12" s="24">
        <f t="shared" si="6"/>
        <v>1</v>
      </c>
      <c r="U12" s="24">
        <f t="shared" si="6"/>
        <v>1</v>
      </c>
      <c r="V12" s="24">
        <f t="shared" si="6"/>
        <v>1</v>
      </c>
      <c r="W12" s="24">
        <f t="shared" si="6"/>
        <v>1</v>
      </c>
      <c r="X12" s="24">
        <f t="shared" si="6"/>
        <v>1</v>
      </c>
      <c r="Y12" s="24">
        <f t="shared" si="6"/>
        <v>1</v>
      </c>
      <c r="Z12" s="24">
        <f t="shared" si="6"/>
        <v>1</v>
      </c>
      <c r="AA12" s="24">
        <f t="shared" si="6"/>
        <v>1</v>
      </c>
      <c r="AB12" s="24">
        <f t="shared" si="6"/>
        <v>1</v>
      </c>
      <c r="AC12" s="24">
        <f t="shared" si="6"/>
        <v>1</v>
      </c>
      <c r="AD12" s="24">
        <f t="shared" si="6"/>
        <v>1</v>
      </c>
      <c r="AE12" s="24">
        <f t="shared" si="6"/>
        <v>1</v>
      </c>
      <c r="AF12" s="24">
        <f t="shared" si="6"/>
        <v>1</v>
      </c>
      <c r="AJ12" s="49"/>
      <c r="AL12" s="68"/>
      <c r="AM12" s="68"/>
      <c r="AN12" s="68"/>
      <c r="AO12" s="68"/>
      <c r="AP12" s="68"/>
      <c r="AQ12" s="68"/>
      <c r="AR12" s="68"/>
      <c r="AS12" s="68"/>
      <c r="AT12" s="68"/>
      <c r="AU12" s="68"/>
    </row>
    <row r="13">
      <c r="A13" s="26" t="s">
        <v>50</v>
      </c>
      <c r="B13" s="27">
        <f t="shared" ref="B13:AF13" si="7">COUNTIF(B6:B11,"N")</f>
        <v>1</v>
      </c>
      <c r="C13" s="27">
        <f t="shared" si="7"/>
        <v>1</v>
      </c>
      <c r="D13" s="27">
        <f t="shared" si="7"/>
        <v>1</v>
      </c>
      <c r="E13" s="27">
        <f t="shared" si="7"/>
        <v>1</v>
      </c>
      <c r="F13" s="27">
        <f t="shared" si="7"/>
        <v>1</v>
      </c>
      <c r="G13" s="27">
        <f t="shared" si="7"/>
        <v>1</v>
      </c>
      <c r="H13" s="27">
        <f t="shared" si="7"/>
        <v>1</v>
      </c>
      <c r="I13" s="27">
        <f t="shared" si="7"/>
        <v>1</v>
      </c>
      <c r="J13" s="27">
        <f t="shared" si="7"/>
        <v>1</v>
      </c>
      <c r="K13" s="27">
        <f t="shared" si="7"/>
        <v>1</v>
      </c>
      <c r="L13" s="27">
        <f t="shared" si="7"/>
        <v>1</v>
      </c>
      <c r="M13" s="27">
        <f t="shared" si="7"/>
        <v>1</v>
      </c>
      <c r="N13" s="27">
        <f t="shared" si="7"/>
        <v>1</v>
      </c>
      <c r="O13" s="27">
        <f t="shared" si="7"/>
        <v>1</v>
      </c>
      <c r="P13" s="27">
        <f t="shared" si="7"/>
        <v>1</v>
      </c>
      <c r="Q13" s="27">
        <f t="shared" si="7"/>
        <v>1</v>
      </c>
      <c r="R13" s="27">
        <f t="shared" si="7"/>
        <v>1</v>
      </c>
      <c r="S13" s="27">
        <f t="shared" si="7"/>
        <v>1</v>
      </c>
      <c r="T13" s="27">
        <f t="shared" si="7"/>
        <v>1</v>
      </c>
      <c r="U13" s="27">
        <f t="shared" si="7"/>
        <v>1</v>
      </c>
      <c r="V13" s="27">
        <f t="shared" si="7"/>
        <v>1</v>
      </c>
      <c r="W13" s="27">
        <f t="shared" si="7"/>
        <v>1</v>
      </c>
      <c r="X13" s="27">
        <f t="shared" si="7"/>
        <v>1</v>
      </c>
      <c r="Y13" s="27">
        <f t="shared" si="7"/>
        <v>1</v>
      </c>
      <c r="Z13" s="27">
        <f t="shared" si="7"/>
        <v>1</v>
      </c>
      <c r="AA13" s="27">
        <f t="shared" si="7"/>
        <v>1</v>
      </c>
      <c r="AB13" s="27">
        <f t="shared" si="7"/>
        <v>1</v>
      </c>
      <c r="AC13" s="27">
        <f t="shared" si="7"/>
        <v>1</v>
      </c>
      <c r="AD13" s="27">
        <f t="shared" si="7"/>
        <v>1</v>
      </c>
      <c r="AE13" s="27">
        <f t="shared" si="7"/>
        <v>1</v>
      </c>
      <c r="AF13" s="27">
        <f t="shared" si="7"/>
        <v>1</v>
      </c>
      <c r="AL13" s="68"/>
      <c r="AM13" s="68"/>
      <c r="AN13" s="68"/>
      <c r="AO13" s="68"/>
      <c r="AP13" s="68"/>
      <c r="AQ13" s="68"/>
      <c r="AR13" s="68"/>
      <c r="AS13" s="68"/>
      <c r="AT13" s="68"/>
      <c r="AU13" s="68"/>
    </row>
    <row r="14">
      <c r="B14" s="85" t="s">
        <v>120</v>
      </c>
      <c r="AG14" s="44" t="s">
        <v>38</v>
      </c>
      <c r="AH14" s="45" t="s">
        <v>39</v>
      </c>
      <c r="AI14" s="46" t="s">
        <v>40</v>
      </c>
      <c r="AJ14" s="48" t="s">
        <v>42</v>
      </c>
      <c r="AK14" s="54" t="s">
        <v>76</v>
      </c>
      <c r="AL14" s="96"/>
      <c r="AM14" s="96"/>
      <c r="AN14" s="96"/>
      <c r="AO14" s="96"/>
      <c r="AP14" s="96"/>
      <c r="AQ14" s="96"/>
      <c r="AR14" s="96"/>
      <c r="AS14" s="96"/>
      <c r="AT14" s="96"/>
      <c r="AU14" s="96"/>
    </row>
    <row r="15">
      <c r="A15" s="13" t="s">
        <v>104</v>
      </c>
      <c r="B15" s="69" t="s">
        <v>40</v>
      </c>
      <c r="C15" s="69" t="s">
        <v>38</v>
      </c>
      <c r="D15" s="69" t="s">
        <v>38</v>
      </c>
      <c r="E15" s="69" t="s">
        <v>38</v>
      </c>
      <c r="F15" s="69" t="s">
        <v>38</v>
      </c>
      <c r="G15" s="69" t="s">
        <v>38</v>
      </c>
      <c r="H15" s="69" t="s">
        <v>40</v>
      </c>
      <c r="I15" s="69" t="s">
        <v>40</v>
      </c>
      <c r="J15" s="69" t="s">
        <v>38</v>
      </c>
      <c r="K15" s="69" t="s">
        <v>38</v>
      </c>
      <c r="L15" s="69" t="s">
        <v>38</v>
      </c>
      <c r="M15" s="69" t="s">
        <v>38</v>
      </c>
      <c r="N15" s="69" t="s">
        <v>38</v>
      </c>
      <c r="O15" s="69" t="s">
        <v>40</v>
      </c>
      <c r="P15" s="69" t="s">
        <v>40</v>
      </c>
      <c r="Q15" s="69" t="s">
        <v>44</v>
      </c>
      <c r="R15" s="69" t="s">
        <v>44</v>
      </c>
      <c r="S15" s="69" t="s">
        <v>44</v>
      </c>
      <c r="T15" s="69" t="s">
        <v>44</v>
      </c>
      <c r="U15" s="69" t="s">
        <v>44</v>
      </c>
      <c r="V15" s="69" t="s">
        <v>40</v>
      </c>
      <c r="W15" s="69" t="s">
        <v>40</v>
      </c>
      <c r="X15" s="69" t="s">
        <v>39</v>
      </c>
      <c r="Y15" s="69" t="s">
        <v>39</v>
      </c>
      <c r="Z15" s="69" t="s">
        <v>39</v>
      </c>
      <c r="AA15" s="69" t="s">
        <v>39</v>
      </c>
      <c r="AB15" s="69" t="s">
        <v>39</v>
      </c>
      <c r="AC15" s="69" t="s">
        <v>40</v>
      </c>
      <c r="AD15" s="69" t="s">
        <v>40</v>
      </c>
      <c r="AE15" s="69" t="s">
        <v>38</v>
      </c>
      <c r="AF15" s="69" t="s">
        <v>38</v>
      </c>
      <c r="AG15" s="49">
        <f t="shared" ref="AG15:AG17" si="8">COUNTIF(B15:AF15,"D")</f>
        <v>12</v>
      </c>
      <c r="AH15" s="49">
        <f t="shared" ref="AH15:AH17" si="9">COUNTIF(B15:AF15,"N")</f>
        <v>5</v>
      </c>
      <c r="AI15" s="49">
        <f t="shared" ref="AI15:AI17" si="10">COUNTIF(B15:AF15,"X")</f>
        <v>9</v>
      </c>
      <c r="AJ15" s="49">
        <f t="shared" ref="AJ15:AJ17" si="11">AG15+AH15</f>
        <v>17</v>
      </c>
      <c r="AK15" s="84">
        <f t="shared" ref="AK15:AK17" si="12">(AJ15*10)/4</f>
        <v>42.5</v>
      </c>
      <c r="AL15" s="99"/>
      <c r="AM15" s="99"/>
      <c r="AN15" s="99"/>
      <c r="AO15" s="99"/>
      <c r="AP15" s="99"/>
      <c r="AQ15" s="99"/>
      <c r="AR15" s="99"/>
      <c r="AS15" s="99"/>
      <c r="AT15" s="99"/>
      <c r="AU15" s="99"/>
    </row>
    <row r="16">
      <c r="A16" s="13" t="s">
        <v>121</v>
      </c>
      <c r="B16" s="69" t="s">
        <v>40</v>
      </c>
      <c r="C16" s="69" t="s">
        <v>39</v>
      </c>
      <c r="D16" s="69" t="s">
        <v>39</v>
      </c>
      <c r="E16" s="69" t="s">
        <v>39</v>
      </c>
      <c r="F16" s="69" t="s">
        <v>39</v>
      </c>
      <c r="G16" s="69" t="s">
        <v>39</v>
      </c>
      <c r="H16" s="69" t="s">
        <v>40</v>
      </c>
      <c r="I16" s="69" t="s">
        <v>40</v>
      </c>
      <c r="J16" s="69" t="s">
        <v>39</v>
      </c>
      <c r="K16" s="69" t="s">
        <v>39</v>
      </c>
      <c r="L16" s="69" t="s">
        <v>39</v>
      </c>
      <c r="M16" s="69" t="s">
        <v>39</v>
      </c>
      <c r="N16" s="69" t="s">
        <v>39</v>
      </c>
      <c r="O16" s="69" t="s">
        <v>40</v>
      </c>
      <c r="P16" s="69" t="s">
        <v>40</v>
      </c>
      <c r="Q16" s="69" t="s">
        <v>38</v>
      </c>
      <c r="R16" s="69" t="s">
        <v>38</v>
      </c>
      <c r="S16" s="69" t="s">
        <v>38</v>
      </c>
      <c r="T16" s="69" t="s">
        <v>38</v>
      </c>
      <c r="U16" s="69" t="s">
        <v>38</v>
      </c>
      <c r="V16" s="69" t="s">
        <v>40</v>
      </c>
      <c r="W16" s="69" t="s">
        <v>40</v>
      </c>
      <c r="X16" s="69" t="s">
        <v>38</v>
      </c>
      <c r="Y16" s="69" t="s">
        <v>38</v>
      </c>
      <c r="Z16" s="69" t="s">
        <v>38</v>
      </c>
      <c r="AA16" s="69" t="s">
        <v>38</v>
      </c>
      <c r="AB16" s="69" t="s">
        <v>38</v>
      </c>
      <c r="AC16" s="69" t="s">
        <v>40</v>
      </c>
      <c r="AD16" s="69" t="s">
        <v>40</v>
      </c>
      <c r="AE16" s="69" t="s">
        <v>39</v>
      </c>
      <c r="AF16" s="69" t="s">
        <v>39</v>
      </c>
      <c r="AG16" s="49">
        <f t="shared" si="8"/>
        <v>10</v>
      </c>
      <c r="AH16" s="49">
        <f t="shared" si="9"/>
        <v>12</v>
      </c>
      <c r="AI16" s="49">
        <f t="shared" si="10"/>
        <v>9</v>
      </c>
      <c r="AJ16" s="49">
        <f t="shared" si="11"/>
        <v>22</v>
      </c>
      <c r="AK16" s="84">
        <f t="shared" si="12"/>
        <v>55</v>
      </c>
      <c r="AL16" s="84"/>
      <c r="AM16" s="84"/>
      <c r="AN16" s="84"/>
      <c r="AO16" s="84"/>
      <c r="AP16" s="84"/>
      <c r="AQ16" s="84"/>
      <c r="AR16" s="84"/>
      <c r="AS16" s="84"/>
      <c r="AT16" s="84"/>
      <c r="AU16" s="99"/>
    </row>
    <row r="17">
      <c r="A17" s="13" t="s">
        <v>141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49">
        <f t="shared" si="8"/>
        <v>0</v>
      </c>
      <c r="AH17" s="49">
        <f t="shared" si="9"/>
        <v>0</v>
      </c>
      <c r="AI17" s="49">
        <f t="shared" si="10"/>
        <v>0</v>
      </c>
      <c r="AJ17" s="49">
        <f t="shared" si="11"/>
        <v>0</v>
      </c>
      <c r="AK17" s="84">
        <f t="shared" si="12"/>
        <v>0</v>
      </c>
      <c r="AL17" s="84"/>
      <c r="AM17" s="84"/>
      <c r="AN17" s="84"/>
      <c r="AO17" s="84"/>
      <c r="AP17" s="84"/>
      <c r="AQ17" s="84"/>
      <c r="AR17" s="84"/>
      <c r="AS17" s="84"/>
      <c r="AT17" s="84"/>
      <c r="AU17" s="84"/>
    </row>
    <row r="18">
      <c r="A18" s="23" t="s">
        <v>49</v>
      </c>
      <c r="B18" s="24">
        <f t="shared" ref="B18:AF18" si="13">COUNTIF(B15:B17,"D")</f>
        <v>0</v>
      </c>
      <c r="C18" s="24">
        <f t="shared" si="13"/>
        <v>1</v>
      </c>
      <c r="D18" s="24">
        <f t="shared" si="13"/>
        <v>1</v>
      </c>
      <c r="E18" s="24">
        <f t="shared" si="13"/>
        <v>1</v>
      </c>
      <c r="F18" s="24">
        <f t="shared" si="13"/>
        <v>1</v>
      </c>
      <c r="G18" s="24">
        <f t="shared" si="13"/>
        <v>1</v>
      </c>
      <c r="H18" s="24">
        <f t="shared" si="13"/>
        <v>0</v>
      </c>
      <c r="I18" s="24">
        <f t="shared" si="13"/>
        <v>0</v>
      </c>
      <c r="J18" s="24">
        <f t="shared" si="13"/>
        <v>1</v>
      </c>
      <c r="K18" s="24">
        <f t="shared" si="13"/>
        <v>1</v>
      </c>
      <c r="L18" s="24">
        <f t="shared" si="13"/>
        <v>1</v>
      </c>
      <c r="M18" s="24">
        <f t="shared" si="13"/>
        <v>1</v>
      </c>
      <c r="N18" s="24">
        <f t="shared" si="13"/>
        <v>1</v>
      </c>
      <c r="O18" s="24">
        <f t="shared" si="13"/>
        <v>0</v>
      </c>
      <c r="P18" s="24">
        <f t="shared" si="13"/>
        <v>0</v>
      </c>
      <c r="Q18" s="24">
        <f t="shared" si="13"/>
        <v>1</v>
      </c>
      <c r="R18" s="24">
        <f t="shared" si="13"/>
        <v>1</v>
      </c>
      <c r="S18" s="24">
        <f t="shared" si="13"/>
        <v>1</v>
      </c>
      <c r="T18" s="24">
        <f t="shared" si="13"/>
        <v>1</v>
      </c>
      <c r="U18" s="24">
        <f t="shared" si="13"/>
        <v>1</v>
      </c>
      <c r="V18" s="24">
        <f t="shared" si="13"/>
        <v>0</v>
      </c>
      <c r="W18" s="24">
        <f t="shared" si="13"/>
        <v>0</v>
      </c>
      <c r="X18" s="24">
        <f t="shared" si="13"/>
        <v>1</v>
      </c>
      <c r="Y18" s="24">
        <f t="shared" si="13"/>
        <v>1</v>
      </c>
      <c r="Z18" s="24">
        <f t="shared" si="13"/>
        <v>1</v>
      </c>
      <c r="AA18" s="24">
        <f t="shared" si="13"/>
        <v>1</v>
      </c>
      <c r="AB18" s="24">
        <f t="shared" si="13"/>
        <v>1</v>
      </c>
      <c r="AC18" s="24">
        <f t="shared" si="13"/>
        <v>0</v>
      </c>
      <c r="AD18" s="24">
        <f t="shared" si="13"/>
        <v>0</v>
      </c>
      <c r="AE18" s="24">
        <f t="shared" si="13"/>
        <v>1</v>
      </c>
      <c r="AF18" s="24">
        <f t="shared" si="13"/>
        <v>1</v>
      </c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</row>
    <row r="19">
      <c r="A19" s="26" t="s">
        <v>50</v>
      </c>
      <c r="B19" s="27">
        <f t="shared" ref="B19:AF19" si="14">COUNTIF(B15:B17,"N")</f>
        <v>0</v>
      </c>
      <c r="C19" s="27">
        <f t="shared" si="14"/>
        <v>1</v>
      </c>
      <c r="D19" s="27">
        <f t="shared" si="14"/>
        <v>1</v>
      </c>
      <c r="E19" s="27">
        <f t="shared" si="14"/>
        <v>1</v>
      </c>
      <c r="F19" s="27">
        <f t="shared" si="14"/>
        <v>1</v>
      </c>
      <c r="G19" s="27">
        <f t="shared" si="14"/>
        <v>1</v>
      </c>
      <c r="H19" s="27">
        <f t="shared" si="14"/>
        <v>0</v>
      </c>
      <c r="I19" s="27">
        <f t="shared" si="14"/>
        <v>0</v>
      </c>
      <c r="J19" s="27">
        <f t="shared" si="14"/>
        <v>1</v>
      </c>
      <c r="K19" s="27">
        <f t="shared" si="14"/>
        <v>1</v>
      </c>
      <c r="L19" s="27">
        <f t="shared" si="14"/>
        <v>1</v>
      </c>
      <c r="M19" s="27">
        <f t="shared" si="14"/>
        <v>1</v>
      </c>
      <c r="N19" s="27">
        <f t="shared" si="14"/>
        <v>1</v>
      </c>
      <c r="O19" s="27">
        <f t="shared" si="14"/>
        <v>0</v>
      </c>
      <c r="P19" s="27">
        <f t="shared" si="14"/>
        <v>0</v>
      </c>
      <c r="Q19" s="27">
        <f t="shared" si="14"/>
        <v>0</v>
      </c>
      <c r="R19" s="27">
        <f t="shared" si="14"/>
        <v>0</v>
      </c>
      <c r="S19" s="27">
        <f t="shared" si="14"/>
        <v>0</v>
      </c>
      <c r="T19" s="27">
        <f t="shared" si="14"/>
        <v>0</v>
      </c>
      <c r="U19" s="27">
        <f t="shared" si="14"/>
        <v>0</v>
      </c>
      <c r="V19" s="27">
        <f t="shared" si="14"/>
        <v>0</v>
      </c>
      <c r="W19" s="27">
        <f t="shared" si="14"/>
        <v>0</v>
      </c>
      <c r="X19" s="27">
        <f t="shared" si="14"/>
        <v>1</v>
      </c>
      <c r="Y19" s="27">
        <f t="shared" si="14"/>
        <v>1</v>
      </c>
      <c r="Z19" s="27">
        <f t="shared" si="14"/>
        <v>1</v>
      </c>
      <c r="AA19" s="27">
        <f t="shared" si="14"/>
        <v>1</v>
      </c>
      <c r="AB19" s="27">
        <f t="shared" si="14"/>
        <v>1</v>
      </c>
      <c r="AC19" s="27">
        <f t="shared" si="14"/>
        <v>0</v>
      </c>
      <c r="AD19" s="27">
        <f t="shared" si="14"/>
        <v>0</v>
      </c>
      <c r="AE19" s="27">
        <f t="shared" si="14"/>
        <v>1</v>
      </c>
      <c r="AF19" s="27">
        <f t="shared" si="14"/>
        <v>1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</row>
    <row r="20">
      <c r="I20" s="28"/>
      <c r="J20" s="11"/>
      <c r="K20" s="68"/>
      <c r="L20" s="68"/>
      <c r="M20" s="68"/>
      <c r="N20" s="68"/>
      <c r="O20" s="68"/>
      <c r="P20" s="68"/>
      <c r="Q20" s="68"/>
      <c r="R20" s="11"/>
      <c r="S20" s="11"/>
      <c r="T20" s="11"/>
      <c r="U20" s="11"/>
      <c r="V20" s="43" t="s">
        <v>0</v>
      </c>
      <c r="W20" s="11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>
      <c r="C21" s="29" t="s">
        <v>51</v>
      </c>
      <c r="D21" s="30"/>
      <c r="E21" s="30"/>
      <c r="F21" s="31"/>
    </row>
    <row r="22">
      <c r="A22" s="6"/>
      <c r="B22" s="86"/>
      <c r="C22" s="33" t="s">
        <v>38</v>
      </c>
      <c r="D22" s="1" t="s">
        <v>52</v>
      </c>
      <c r="F22" s="34"/>
      <c r="G22" s="86"/>
      <c r="H22" s="13"/>
      <c r="O22" s="71"/>
      <c r="P22" s="19"/>
      <c r="U22" s="71"/>
      <c r="V22" s="71"/>
      <c r="W22" s="71"/>
      <c r="X22" s="71"/>
      <c r="Y22" s="71"/>
      <c r="Z22" s="71"/>
    </row>
    <row r="23">
      <c r="A23" s="6"/>
      <c r="B23" s="87"/>
      <c r="C23" s="33" t="s">
        <v>39</v>
      </c>
      <c r="D23" s="1" t="s">
        <v>53</v>
      </c>
      <c r="F23" s="34"/>
      <c r="G23" s="87"/>
      <c r="J23" s="13"/>
      <c r="O23" s="70"/>
      <c r="P23" s="13"/>
      <c r="U23" s="70"/>
      <c r="V23" s="70"/>
      <c r="W23" s="70"/>
      <c r="X23" s="70"/>
      <c r="Y23" s="70"/>
      <c r="Z23" s="70"/>
      <c r="AD23" s="86"/>
      <c r="AE23" s="86"/>
      <c r="AF23" s="86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</row>
    <row r="24">
      <c r="A24" s="12"/>
      <c r="B24" s="71"/>
      <c r="C24" s="33" t="s">
        <v>41</v>
      </c>
      <c r="D24" s="1" t="s">
        <v>54</v>
      </c>
      <c r="F24" s="34"/>
      <c r="G24" s="71"/>
      <c r="H24" s="19"/>
      <c r="O24" s="61"/>
      <c r="P24" s="13"/>
      <c r="U24" s="60"/>
      <c r="V24" s="60"/>
      <c r="W24" s="60"/>
      <c r="X24" s="60"/>
      <c r="Y24" s="61"/>
      <c r="Z24" s="61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</row>
    <row r="25">
      <c r="B25" s="70"/>
      <c r="C25" s="33" t="s">
        <v>55</v>
      </c>
      <c r="D25" s="1" t="s">
        <v>56</v>
      </c>
      <c r="F25" s="34"/>
      <c r="G25" s="71"/>
      <c r="H25" s="13"/>
      <c r="O25" s="70"/>
      <c r="P25" s="13"/>
      <c r="U25" s="70"/>
      <c r="V25" s="88"/>
      <c r="W25" s="88"/>
      <c r="X25" s="70"/>
      <c r="Y25" s="70"/>
      <c r="Z25" s="70"/>
      <c r="AD25" s="71"/>
      <c r="AE25" s="71"/>
      <c r="AF25" s="71"/>
      <c r="AG25" s="95"/>
      <c r="AH25" s="95"/>
      <c r="AI25" s="95"/>
      <c r="AJ25" s="95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</row>
    <row r="26">
      <c r="A26" s="97"/>
      <c r="B26" s="68"/>
      <c r="C26" s="33" t="s">
        <v>40</v>
      </c>
      <c r="D26" s="1" t="s">
        <v>57</v>
      </c>
      <c r="F26" s="34"/>
      <c r="G26" s="70"/>
      <c r="H26" s="13"/>
      <c r="O26" s="70"/>
      <c r="P26" s="13"/>
      <c r="U26" s="20"/>
      <c r="V26" s="13"/>
      <c r="AD26" s="71"/>
      <c r="AE26" s="71"/>
      <c r="AF26" s="71"/>
      <c r="AG26" s="98"/>
      <c r="AH26" s="98"/>
      <c r="AI26" s="98"/>
      <c r="AJ26" s="98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</row>
    <row r="27">
      <c r="A27" s="97"/>
      <c r="B27" s="60"/>
      <c r="C27" s="33" t="s">
        <v>58</v>
      </c>
      <c r="D27" s="1" t="s">
        <v>59</v>
      </c>
      <c r="F27" s="34"/>
      <c r="G27" s="61"/>
      <c r="H27" s="13"/>
      <c r="O27" s="25"/>
      <c r="U27" s="20"/>
      <c r="V27" s="89"/>
      <c r="AD27" s="70"/>
      <c r="AE27" s="70"/>
      <c r="AF27" s="70"/>
      <c r="AG27" s="98"/>
      <c r="AH27" s="98"/>
      <c r="AI27" s="98"/>
      <c r="AJ27" s="98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</row>
    <row r="28">
      <c r="A28" s="87"/>
      <c r="B28" s="70"/>
      <c r="C28" s="33" t="s">
        <v>60</v>
      </c>
      <c r="D28" s="1" t="s">
        <v>61</v>
      </c>
      <c r="F28" s="34"/>
      <c r="G28" s="70"/>
      <c r="H28" s="55"/>
      <c r="O28" s="25"/>
      <c r="U28" s="20"/>
      <c r="AD28" s="61"/>
      <c r="AE28" s="61"/>
      <c r="AF28" s="61"/>
      <c r="AG28" s="98"/>
      <c r="AH28" s="98"/>
      <c r="AI28" s="98"/>
      <c r="AJ28" s="98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</row>
    <row r="29">
      <c r="A29" s="87"/>
      <c r="B29" s="70"/>
      <c r="C29" s="33" t="s">
        <v>44</v>
      </c>
      <c r="D29" s="1" t="s">
        <v>62</v>
      </c>
      <c r="F29" s="34"/>
      <c r="G29" s="70"/>
      <c r="O29" s="20"/>
      <c r="AD29" s="70"/>
      <c r="AE29" s="70"/>
      <c r="AF29" s="70"/>
      <c r="AG29" s="98"/>
      <c r="AH29" s="98"/>
      <c r="AI29" s="98"/>
      <c r="AJ29" s="98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</row>
    <row r="30">
      <c r="A30" s="71"/>
      <c r="B30" s="25"/>
      <c r="C30" s="33" t="s">
        <v>63</v>
      </c>
      <c r="D30" s="1" t="s">
        <v>64</v>
      </c>
      <c r="F30" s="34"/>
      <c r="G30" s="25"/>
      <c r="AD30" s="25"/>
      <c r="AE30" s="25"/>
      <c r="AF30" s="25"/>
      <c r="AG30" s="68"/>
      <c r="AH30" s="68"/>
      <c r="AI30" s="68"/>
      <c r="AJ30" s="9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</row>
    <row r="31">
      <c r="A31" s="71"/>
      <c r="B31" s="25"/>
      <c r="C31" s="33" t="s">
        <v>65</v>
      </c>
      <c r="D31" s="1" t="s">
        <v>66</v>
      </c>
      <c r="F31" s="34"/>
      <c r="G31" s="25"/>
      <c r="AD31" s="25"/>
      <c r="AE31" s="25"/>
      <c r="AF31" s="25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</row>
    <row r="32">
      <c r="C32" s="33" t="s">
        <v>46</v>
      </c>
      <c r="D32" s="1" t="s">
        <v>67</v>
      </c>
      <c r="F32" s="34"/>
    </row>
    <row r="33">
      <c r="C33" s="35" t="s">
        <v>68</v>
      </c>
      <c r="D33" s="36" t="s">
        <v>69</v>
      </c>
      <c r="E33" s="8"/>
      <c r="F33" s="37"/>
    </row>
    <row r="34"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</row>
    <row r="35"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</row>
    <row r="49">
      <c r="E49" s="1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</row>
    <row r="52">
      <c r="E52" s="69"/>
      <c r="F52" s="69"/>
      <c r="G52" s="69"/>
      <c r="H52" s="69"/>
      <c r="I52" s="69"/>
      <c r="J52" s="69"/>
      <c r="K52" s="69"/>
      <c r="L52" s="60"/>
      <c r="M52" s="60"/>
      <c r="N52" s="60"/>
      <c r="O52" s="60"/>
      <c r="P52" s="61"/>
      <c r="Q52" s="61"/>
      <c r="R52" s="61"/>
      <c r="S52" s="70"/>
      <c r="T52" s="70"/>
      <c r="U52" s="70"/>
    </row>
    <row r="53"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0"/>
      <c r="T53" s="60"/>
      <c r="U53" s="60"/>
    </row>
    <row r="54">
      <c r="E54" s="60"/>
      <c r="F54" s="60"/>
      <c r="G54" s="60"/>
      <c r="H54" s="60"/>
      <c r="I54" s="60"/>
      <c r="J54" s="61"/>
      <c r="K54" s="61"/>
      <c r="L54" s="70"/>
      <c r="M54" s="70"/>
      <c r="N54" s="70"/>
      <c r="O54" s="70"/>
      <c r="P54" s="70"/>
      <c r="Q54" s="70"/>
      <c r="R54" s="70"/>
      <c r="S54" s="70"/>
      <c r="T54" s="70"/>
      <c r="U54" s="70"/>
    </row>
    <row r="55"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</sheetData>
  <mergeCells count="16">
    <mergeCell ref="B1:AC3"/>
    <mergeCell ref="B14:AF14"/>
    <mergeCell ref="C21:F21"/>
    <mergeCell ref="D22:F22"/>
    <mergeCell ref="D23:F23"/>
    <mergeCell ref="D24:F24"/>
    <mergeCell ref="D25:F25"/>
    <mergeCell ref="D32:F32"/>
    <mergeCell ref="D33:F33"/>
    <mergeCell ref="D26:F26"/>
    <mergeCell ref="D27:F27"/>
    <mergeCell ref="V27:AC29"/>
    <mergeCell ref="D28:F28"/>
    <mergeCell ref="D29:F29"/>
    <mergeCell ref="D30:F30"/>
    <mergeCell ref="D31:F31"/>
  </mergeCells>
  <conditionalFormatting sqref="B9:H9 U26 E54:K54">
    <cfRule type="cellIs" dxfId="0" priority="1" operator="equal">
      <formula>"X"</formula>
    </cfRule>
  </conditionalFormatting>
  <conditionalFormatting sqref="B9:H9 U26 E54:K54">
    <cfRule type="cellIs" dxfId="1" priority="2" operator="equal">
      <formula>"D"</formula>
    </cfRule>
  </conditionalFormatting>
  <conditionalFormatting sqref="B9:H9 U26 E54:K54">
    <cfRule type="cellIs" dxfId="2" priority="3" operator="equal">
      <formula>"N"</formula>
    </cfRule>
  </conditionalFormatting>
  <conditionalFormatting sqref="B9:H9 U26 E54:K54">
    <cfRule type="cellIs" dxfId="3" priority="4" operator="equal">
      <formula>"OB"</formula>
    </cfRule>
  </conditionalFormatting>
  <conditionalFormatting sqref="B9:H9 U26 E54:K54">
    <cfRule type="cellIs" dxfId="0" priority="5" operator="equal">
      <formula>"C"</formula>
    </cfRule>
  </conditionalFormatting>
  <conditionalFormatting sqref="B9:H9 U26 E54:K54">
    <cfRule type="cellIs" dxfId="0" priority="6" operator="equal">
      <formula>"AL"</formula>
    </cfRule>
  </conditionalFormatting>
  <conditionalFormatting sqref="B9:H9 U26 E54:K54">
    <cfRule type="cellIs" dxfId="4" priority="7" operator="equal">
      <formula>"UP"</formula>
    </cfRule>
  </conditionalFormatting>
  <conditionalFormatting sqref="B9:H9 U26 E54:K54">
    <cfRule type="cellIs" dxfId="0" priority="8" operator="equal">
      <formula>"S"</formula>
    </cfRule>
  </conditionalFormatting>
  <conditionalFormatting sqref="B9:H9 U26 E54:K54">
    <cfRule type="cellIs" dxfId="5" priority="9" operator="equal">
      <formula>"OC"</formula>
    </cfRule>
  </conditionalFormatting>
  <conditionalFormatting sqref="B9:H9 U26 E54:K54">
    <cfRule type="cellIs" dxfId="6" priority="10" operator="equal">
      <formula>"SPV"</formula>
    </cfRule>
  </conditionalFormatting>
  <conditionalFormatting sqref="B9:H9 U26 E54:K54">
    <cfRule type="cellIs" dxfId="7" priority="11" operator="equal">
      <formula>"INT"</formula>
    </cfRule>
  </conditionalFormatting>
  <conditionalFormatting sqref="B9:H9 U26 E54:K54">
    <cfRule type="cellIs" dxfId="8" priority="12" operator="equal">
      <formula>"T"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0" priority="13" operator="equal">
      <formula>"X"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1" priority="14" operator="equal">
      <formula>"D"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2" priority="15" operator="equal">
      <formula>"N"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3" priority="16" operator="equal">
      <formula>"OB"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0" priority="17" operator="equal">
      <formula>"C"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0" priority="18" operator="equal">
      <formula>"AL"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4" priority="19" operator="equal">
      <formula>"UP"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0" priority="20" operator="equal">
      <formula>"S"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5" priority="21" operator="equal">
      <formula>"OC"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6" priority="22" operator="equal">
      <formula>"SPV"</formula>
    </cfRule>
  </conditionalFormatting>
  <conditionalFormatting sqref="B6:AF11 A11 B15:AF17 E20:E29 C21:C34 D21:D29 F21:F29 B22:B29 G22:G29 I22:I29 J22 K22:O29 Q22:Q38 R22:Z29 H23:H26 P23:P29 AA23:AF29 J24:J29 H28:H29 D32:F33 I33:J34 K33:O41 R33:R34 S33:Z37 P34:P41 AA34:AB37 E35:E57 I38:I40 T39:W40 J40 Q41 K45:P55 Q45:Q49 S45:AB48 I49:I55 T50:U55 V50:W51 F51:H55 J51:J55 Q51:S55">
    <cfRule type="cellIs" dxfId="7" priority="23" operator="equal">
      <formula>"INT"</formula>
    </cfRule>
  </conditionalFormatting>
  <conditionalFormatting sqref="B6:AF11 A11 B15:AF17 C21:F29 B22:B29 G22:G29 I22:I29 J22 K22:O29 Q22:Z29 H23:H26 P23:P29 AA23:AF29 J24:J29 H28:H29 C33 K34:P40 Q34:Q38 U34:AB37 S35:T37 T39:W40 J40 E51:U55">
    <cfRule type="cellIs" dxfId="8" priority="24" operator="equal">
      <formula>"T"</formula>
    </cfRule>
  </conditionalFormatting>
  <conditionalFormatting sqref="C32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10.0"/>
    <col customWidth="1" min="3" max="3" width="9.63"/>
    <col customWidth="1" min="4" max="4" width="8.0"/>
    <col customWidth="1" min="5" max="5" width="10.0"/>
    <col customWidth="1" min="6" max="32" width="6.38"/>
    <col customWidth="1" min="33" max="35" width="4.5"/>
    <col customWidth="1" min="36" max="37" width="6.88"/>
    <col customWidth="1" min="38" max="38" width="14.13"/>
  </cols>
  <sheetData>
    <row r="1">
      <c r="C1" s="13" t="s">
        <v>71</v>
      </c>
      <c r="AE1" s="83"/>
      <c r="AF1" s="83"/>
      <c r="AG1" s="83"/>
      <c r="AH1" s="4"/>
      <c r="AI1" s="4"/>
      <c r="AJ1" s="4"/>
      <c r="AK1" s="4"/>
      <c r="AL1" s="4"/>
    </row>
    <row r="2">
      <c r="AE2" s="83"/>
      <c r="AF2" s="83"/>
      <c r="AG2" s="83"/>
      <c r="AH2" s="4"/>
      <c r="AI2" s="4"/>
      <c r="AJ2" s="4"/>
      <c r="AK2" s="4"/>
      <c r="AL2" s="4"/>
    </row>
    <row r="3">
      <c r="A3" s="6"/>
      <c r="B3" s="6"/>
      <c r="AE3" s="83"/>
      <c r="AF3" s="83"/>
      <c r="AG3" s="92"/>
      <c r="AH3" s="4"/>
      <c r="AI3" s="4"/>
      <c r="AJ3" s="4"/>
      <c r="AK3" s="4"/>
      <c r="AL3" s="4"/>
    </row>
    <row r="4">
      <c r="A4" s="6"/>
      <c r="B4" s="100" t="s">
        <v>146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2</v>
      </c>
      <c r="I4" s="10" t="s">
        <v>3</v>
      </c>
      <c r="J4" s="10" t="s">
        <v>4</v>
      </c>
      <c r="K4" s="10" t="s">
        <v>5</v>
      </c>
      <c r="L4" s="10" t="s">
        <v>6</v>
      </c>
      <c r="M4" s="10" t="s">
        <v>7</v>
      </c>
      <c r="N4" s="10" t="s">
        <v>8</v>
      </c>
      <c r="O4" s="10" t="s">
        <v>2</v>
      </c>
      <c r="P4" s="10" t="s">
        <v>3</v>
      </c>
      <c r="Q4" s="10" t="s">
        <v>4</v>
      </c>
      <c r="R4" s="10" t="s">
        <v>5</v>
      </c>
      <c r="S4" s="10" t="s">
        <v>6</v>
      </c>
      <c r="T4" s="10" t="s">
        <v>7</v>
      </c>
      <c r="U4" s="10" t="s">
        <v>8</v>
      </c>
      <c r="V4" s="10" t="s">
        <v>2</v>
      </c>
      <c r="W4" s="42" t="s">
        <v>3</v>
      </c>
      <c r="X4" s="10" t="s">
        <v>4</v>
      </c>
      <c r="Y4" s="10" t="s">
        <v>5</v>
      </c>
      <c r="Z4" s="10" t="s">
        <v>6</v>
      </c>
      <c r="AA4" s="10" t="s">
        <v>7</v>
      </c>
      <c r="AB4" s="42" t="s">
        <v>8</v>
      </c>
      <c r="AC4" s="42" t="s">
        <v>2</v>
      </c>
      <c r="AD4" s="42" t="s">
        <v>3</v>
      </c>
      <c r="AE4" s="42" t="s">
        <v>4</v>
      </c>
      <c r="AF4" s="42" t="s">
        <v>5</v>
      </c>
      <c r="AH4" s="11"/>
      <c r="AI4" s="11"/>
      <c r="AJ4" s="11"/>
      <c r="AK4" s="11"/>
      <c r="AL4" s="11"/>
    </row>
    <row r="5">
      <c r="A5" s="101"/>
      <c r="B5" s="101" t="s">
        <v>146</v>
      </c>
      <c r="C5" s="102">
        <v>46113.0</v>
      </c>
      <c r="D5" s="102">
        <v>46114.0</v>
      </c>
      <c r="E5" s="102">
        <v>46115.0</v>
      </c>
      <c r="F5" s="102">
        <v>46116.0</v>
      </c>
      <c r="G5" s="102">
        <v>46117.0</v>
      </c>
      <c r="H5" s="102">
        <v>46118.0</v>
      </c>
      <c r="I5" s="102">
        <v>46119.0</v>
      </c>
      <c r="J5" s="102">
        <v>46120.0</v>
      </c>
      <c r="K5" s="102">
        <v>46121.0</v>
      </c>
      <c r="L5" s="102">
        <v>46122.0</v>
      </c>
      <c r="M5" s="102">
        <v>46123.0</v>
      </c>
      <c r="N5" s="102">
        <v>46124.0</v>
      </c>
      <c r="O5" s="102">
        <v>46125.0</v>
      </c>
      <c r="P5" s="102">
        <v>46126.0</v>
      </c>
      <c r="Q5" s="102">
        <v>46127.0</v>
      </c>
      <c r="R5" s="102">
        <v>46128.0</v>
      </c>
      <c r="S5" s="102">
        <v>46129.0</v>
      </c>
      <c r="T5" s="102">
        <v>46130.0</v>
      </c>
      <c r="U5" s="102">
        <v>46131.0</v>
      </c>
      <c r="V5" s="102">
        <v>46132.0</v>
      </c>
      <c r="W5" s="102">
        <v>46133.0</v>
      </c>
      <c r="X5" s="102">
        <v>46134.0</v>
      </c>
      <c r="Y5" s="102">
        <v>46135.0</v>
      </c>
      <c r="Z5" s="102">
        <v>46136.0</v>
      </c>
      <c r="AA5" s="102">
        <v>46137.0</v>
      </c>
      <c r="AB5" s="102">
        <v>46138.0</v>
      </c>
      <c r="AC5" s="102">
        <v>46139.0</v>
      </c>
      <c r="AD5" s="102">
        <v>46140.0</v>
      </c>
      <c r="AE5" s="102">
        <v>46141.0</v>
      </c>
      <c r="AF5" s="102">
        <v>46142.0</v>
      </c>
      <c r="AG5" s="103"/>
      <c r="AH5" s="104" t="s">
        <v>38</v>
      </c>
      <c r="AI5" s="105" t="s">
        <v>39</v>
      </c>
      <c r="AJ5" s="106" t="s">
        <v>40</v>
      </c>
      <c r="AK5" s="107" t="s">
        <v>42</v>
      </c>
      <c r="AL5" s="108" t="s">
        <v>76</v>
      </c>
    </row>
    <row r="6">
      <c r="A6" s="19" t="s">
        <v>45</v>
      </c>
      <c r="B6" s="19" t="s">
        <v>147</v>
      </c>
      <c r="C6" s="71" t="s">
        <v>148</v>
      </c>
      <c r="D6" s="71" t="s">
        <v>40</v>
      </c>
      <c r="E6" s="71" t="s">
        <v>40</v>
      </c>
      <c r="F6" s="71" t="s">
        <v>148</v>
      </c>
      <c r="G6" s="71" t="s">
        <v>148</v>
      </c>
      <c r="H6" s="71" t="s">
        <v>40</v>
      </c>
      <c r="I6" s="71" t="s">
        <v>40</v>
      </c>
      <c r="J6" s="71" t="s">
        <v>148</v>
      </c>
      <c r="K6" s="71" t="s">
        <v>148</v>
      </c>
      <c r="L6" s="71" t="s">
        <v>40</v>
      </c>
      <c r="M6" s="71" t="s">
        <v>40</v>
      </c>
      <c r="N6" s="71" t="s">
        <v>149</v>
      </c>
      <c r="O6" s="71" t="s">
        <v>149</v>
      </c>
      <c r="P6" s="71" t="s">
        <v>40</v>
      </c>
      <c r="Q6" s="71" t="s">
        <v>40</v>
      </c>
      <c r="R6" s="71" t="s">
        <v>149</v>
      </c>
      <c r="S6" s="71" t="s">
        <v>149</v>
      </c>
      <c r="T6" s="71" t="s">
        <v>40</v>
      </c>
      <c r="U6" s="71" t="s">
        <v>40</v>
      </c>
      <c r="V6" s="71" t="s">
        <v>149</v>
      </c>
      <c r="W6" s="71" t="s">
        <v>149</v>
      </c>
      <c r="X6" s="71" t="s">
        <v>149</v>
      </c>
      <c r="Y6" s="71" t="s">
        <v>40</v>
      </c>
      <c r="Z6" s="71" t="s">
        <v>149</v>
      </c>
      <c r="AA6" s="71" t="s">
        <v>149</v>
      </c>
      <c r="AB6" s="71" t="s">
        <v>40</v>
      </c>
      <c r="AC6" s="71" t="s">
        <v>40</v>
      </c>
      <c r="AD6" s="71" t="s">
        <v>148</v>
      </c>
      <c r="AE6" s="71" t="s">
        <v>148</v>
      </c>
      <c r="AF6" s="71" t="s">
        <v>40</v>
      </c>
      <c r="AG6" s="71"/>
      <c r="AH6" s="49">
        <f t="shared" ref="AH6:AH12" si="1">COUNTIF(C6:AG6,"SOC-D")</f>
        <v>7</v>
      </c>
      <c r="AI6" s="49">
        <f t="shared" ref="AI6:AI12" si="2">COUNTIF(C6:AG6,"SOC-N")</f>
        <v>9</v>
      </c>
      <c r="AJ6" s="49">
        <f t="shared" ref="AJ6:AJ15" si="3">COUNTIF(C6:AG6,"X")</f>
        <v>14</v>
      </c>
      <c r="AK6" s="49">
        <f t="shared" ref="AK6:AK15" si="4">AH6+AI6</f>
        <v>16</v>
      </c>
      <c r="AL6" s="84">
        <f t="shared" ref="AL6:AL12" si="5">(AK6*12)/4.2</f>
        <v>45.71428571</v>
      </c>
    </row>
    <row r="7">
      <c r="A7" s="19" t="s">
        <v>43</v>
      </c>
      <c r="B7" s="19" t="s">
        <v>150</v>
      </c>
      <c r="C7" s="69" t="s">
        <v>60</v>
      </c>
      <c r="D7" s="69" t="s">
        <v>60</v>
      </c>
      <c r="E7" s="69" t="s">
        <v>40</v>
      </c>
      <c r="F7" s="69" t="s">
        <v>40</v>
      </c>
      <c r="G7" s="69" t="s">
        <v>63</v>
      </c>
      <c r="H7" s="69" t="s">
        <v>63</v>
      </c>
      <c r="I7" s="69" t="s">
        <v>63</v>
      </c>
      <c r="J7" s="60" t="s">
        <v>63</v>
      </c>
      <c r="K7" s="60" t="s">
        <v>63</v>
      </c>
      <c r="L7" s="60" t="s">
        <v>63</v>
      </c>
      <c r="M7" s="60" t="s">
        <v>63</v>
      </c>
      <c r="N7" s="61" t="s">
        <v>63</v>
      </c>
      <c r="O7" s="61" t="s">
        <v>63</v>
      </c>
      <c r="P7" s="61" t="s">
        <v>63</v>
      </c>
      <c r="Q7" s="70" t="s">
        <v>63</v>
      </c>
      <c r="R7" s="70" t="s">
        <v>63</v>
      </c>
      <c r="S7" s="70" t="s">
        <v>63</v>
      </c>
      <c r="T7" s="70" t="s">
        <v>63</v>
      </c>
      <c r="U7" s="70" t="s">
        <v>63</v>
      </c>
      <c r="V7" s="70" t="s">
        <v>63</v>
      </c>
      <c r="W7" s="70" t="s">
        <v>63</v>
      </c>
      <c r="X7" s="71" t="s">
        <v>63</v>
      </c>
      <c r="Y7" s="70" t="s">
        <v>63</v>
      </c>
      <c r="Z7" s="71" t="s">
        <v>63</v>
      </c>
      <c r="AA7" s="71" t="s">
        <v>63</v>
      </c>
      <c r="AB7" s="71" t="s">
        <v>63</v>
      </c>
      <c r="AC7" s="71" t="s">
        <v>63</v>
      </c>
      <c r="AD7" s="71" t="s">
        <v>63</v>
      </c>
      <c r="AE7" s="71" t="s">
        <v>63</v>
      </c>
      <c r="AF7" s="71" t="s">
        <v>63</v>
      </c>
      <c r="AG7" s="71"/>
      <c r="AH7" s="49">
        <f t="shared" si="1"/>
        <v>0</v>
      </c>
      <c r="AI7" s="49">
        <f t="shared" si="2"/>
        <v>0</v>
      </c>
      <c r="AJ7" s="49">
        <f t="shared" si="3"/>
        <v>2</v>
      </c>
      <c r="AK7" s="49">
        <f t="shared" si="4"/>
        <v>0</v>
      </c>
      <c r="AL7" s="84">
        <f t="shared" si="5"/>
        <v>0</v>
      </c>
    </row>
    <row r="8">
      <c r="A8" s="13" t="s">
        <v>84</v>
      </c>
      <c r="B8" s="13" t="s">
        <v>151</v>
      </c>
      <c r="C8" s="69" t="s">
        <v>40</v>
      </c>
      <c r="D8" s="69" t="s">
        <v>148</v>
      </c>
      <c r="E8" s="69" t="s">
        <v>148</v>
      </c>
      <c r="F8" s="69" t="s">
        <v>40</v>
      </c>
      <c r="G8" s="69" t="s">
        <v>40</v>
      </c>
      <c r="H8" s="69" t="s">
        <v>148</v>
      </c>
      <c r="I8" s="69" t="s">
        <v>148</v>
      </c>
      <c r="J8" s="69" t="s">
        <v>40</v>
      </c>
      <c r="K8" s="69" t="s">
        <v>40</v>
      </c>
      <c r="L8" s="69" t="s">
        <v>149</v>
      </c>
      <c r="M8" s="69" t="s">
        <v>149</v>
      </c>
      <c r="N8" s="69" t="s">
        <v>40</v>
      </c>
      <c r="O8" s="69" t="s">
        <v>40</v>
      </c>
      <c r="P8" s="69" t="s">
        <v>149</v>
      </c>
      <c r="Q8" s="60" t="s">
        <v>149</v>
      </c>
      <c r="R8" s="60" t="s">
        <v>40</v>
      </c>
      <c r="S8" s="60" t="s">
        <v>40</v>
      </c>
      <c r="T8" s="60" t="s">
        <v>149</v>
      </c>
      <c r="U8" s="60" t="s">
        <v>149</v>
      </c>
      <c r="V8" s="61" t="s">
        <v>40</v>
      </c>
      <c r="W8" s="61" t="s">
        <v>40</v>
      </c>
      <c r="X8" s="70" t="s">
        <v>60</v>
      </c>
      <c r="Y8" s="1" t="s">
        <v>149</v>
      </c>
      <c r="Z8" s="70" t="s">
        <v>40</v>
      </c>
      <c r="AA8" s="70" t="s">
        <v>40</v>
      </c>
      <c r="AB8" s="70" t="s">
        <v>149</v>
      </c>
      <c r="AC8" s="70" t="s">
        <v>149</v>
      </c>
      <c r="AD8" s="70" t="s">
        <v>40</v>
      </c>
      <c r="AE8" s="70" t="s">
        <v>40</v>
      </c>
      <c r="AF8" s="70" t="s">
        <v>148</v>
      </c>
      <c r="AG8" s="70"/>
      <c r="AH8" s="49">
        <f t="shared" si="1"/>
        <v>5</v>
      </c>
      <c r="AI8" s="49">
        <f t="shared" si="2"/>
        <v>9</v>
      </c>
      <c r="AJ8" s="49">
        <f t="shared" si="3"/>
        <v>15</v>
      </c>
      <c r="AK8" s="49">
        <f t="shared" si="4"/>
        <v>14</v>
      </c>
      <c r="AL8" s="84">
        <f t="shared" si="5"/>
        <v>40</v>
      </c>
    </row>
    <row r="9">
      <c r="A9" s="13" t="s">
        <v>48</v>
      </c>
      <c r="B9" s="13" t="s">
        <v>152</v>
      </c>
      <c r="C9" s="60" t="s">
        <v>149</v>
      </c>
      <c r="D9" s="60" t="s">
        <v>40</v>
      </c>
      <c r="E9" s="60" t="s">
        <v>40</v>
      </c>
      <c r="F9" s="60" t="s">
        <v>149</v>
      </c>
      <c r="G9" s="60" t="s">
        <v>149</v>
      </c>
      <c r="H9" s="61" t="s">
        <v>40</v>
      </c>
      <c r="I9" s="61" t="s">
        <v>40</v>
      </c>
      <c r="J9" s="70" t="s">
        <v>149</v>
      </c>
      <c r="K9" s="70" t="s">
        <v>149</v>
      </c>
      <c r="L9" s="70" t="s">
        <v>40</v>
      </c>
      <c r="M9" s="70" t="s">
        <v>40</v>
      </c>
      <c r="N9" s="70" t="s">
        <v>148</v>
      </c>
      <c r="O9" s="70" t="s">
        <v>148</v>
      </c>
      <c r="P9" s="70" t="s">
        <v>40</v>
      </c>
      <c r="Q9" s="70" t="s">
        <v>40</v>
      </c>
      <c r="R9" s="70" t="s">
        <v>149</v>
      </c>
      <c r="S9" s="70" t="s">
        <v>149</v>
      </c>
      <c r="T9" s="70" t="s">
        <v>40</v>
      </c>
      <c r="U9" s="70" t="s">
        <v>40</v>
      </c>
      <c r="V9" s="70" t="s">
        <v>148</v>
      </c>
      <c r="W9" s="70" t="s">
        <v>148</v>
      </c>
      <c r="X9" s="60" t="s">
        <v>40</v>
      </c>
      <c r="Y9" s="60" t="s">
        <v>40</v>
      </c>
      <c r="Z9" s="60" t="s">
        <v>148</v>
      </c>
      <c r="AA9" s="60" t="s">
        <v>60</v>
      </c>
      <c r="AB9" s="60" t="s">
        <v>40</v>
      </c>
      <c r="AC9" s="60" t="s">
        <v>40</v>
      </c>
      <c r="AD9" s="61" t="s">
        <v>149</v>
      </c>
      <c r="AE9" s="61" t="s">
        <v>149</v>
      </c>
      <c r="AF9" s="60" t="s">
        <v>40</v>
      </c>
      <c r="AG9" s="61"/>
      <c r="AH9" s="49">
        <f t="shared" si="1"/>
        <v>5</v>
      </c>
      <c r="AI9" s="49">
        <f t="shared" si="2"/>
        <v>9</v>
      </c>
      <c r="AJ9" s="49">
        <f t="shared" si="3"/>
        <v>15</v>
      </c>
      <c r="AK9" s="49">
        <f t="shared" si="4"/>
        <v>14</v>
      </c>
      <c r="AL9" s="84">
        <f t="shared" si="5"/>
        <v>40</v>
      </c>
    </row>
    <row r="10">
      <c r="A10" s="13" t="s">
        <v>138</v>
      </c>
      <c r="B10" s="13" t="s">
        <v>153</v>
      </c>
      <c r="C10" s="69" t="s">
        <v>40</v>
      </c>
      <c r="D10" s="69" t="s">
        <v>149</v>
      </c>
      <c r="E10" s="69" t="s">
        <v>149</v>
      </c>
      <c r="F10" s="69" t="s">
        <v>40</v>
      </c>
      <c r="G10" s="69" t="s">
        <v>40</v>
      </c>
      <c r="H10" s="69" t="s">
        <v>149</v>
      </c>
      <c r="I10" s="69" t="s">
        <v>149</v>
      </c>
      <c r="J10" s="69" t="s">
        <v>40</v>
      </c>
      <c r="K10" s="69" t="s">
        <v>40</v>
      </c>
      <c r="L10" s="69" t="s">
        <v>148</v>
      </c>
      <c r="M10" s="69" t="s">
        <v>148</v>
      </c>
      <c r="N10" s="69" t="s">
        <v>40</v>
      </c>
      <c r="O10" s="69" t="s">
        <v>40</v>
      </c>
      <c r="P10" s="69" t="s">
        <v>148</v>
      </c>
      <c r="Q10" s="69" t="s">
        <v>148</v>
      </c>
      <c r="R10" s="69" t="s">
        <v>40</v>
      </c>
      <c r="S10" s="69" t="s">
        <v>40</v>
      </c>
      <c r="T10" s="69" t="s">
        <v>148</v>
      </c>
      <c r="U10" s="69" t="s">
        <v>148</v>
      </c>
      <c r="V10" s="69" t="s">
        <v>40</v>
      </c>
      <c r="W10" s="69" t="s">
        <v>40</v>
      </c>
      <c r="X10" s="70" t="s">
        <v>148</v>
      </c>
      <c r="Y10" s="70" t="s">
        <v>148</v>
      </c>
      <c r="Z10" s="70" t="s">
        <v>40</v>
      </c>
      <c r="AA10" s="70" t="s">
        <v>148</v>
      </c>
      <c r="AB10" s="70" t="s">
        <v>148</v>
      </c>
      <c r="AC10" s="70" t="s">
        <v>148</v>
      </c>
      <c r="AD10" s="70" t="s">
        <v>40</v>
      </c>
      <c r="AE10" s="70" t="s">
        <v>40</v>
      </c>
      <c r="AF10" s="70" t="s">
        <v>149</v>
      </c>
      <c r="AG10" s="70"/>
      <c r="AH10" s="49">
        <f t="shared" si="1"/>
        <v>11</v>
      </c>
      <c r="AI10" s="49">
        <f t="shared" si="2"/>
        <v>5</v>
      </c>
      <c r="AJ10" s="49">
        <f t="shared" si="3"/>
        <v>14</v>
      </c>
      <c r="AK10" s="49">
        <f t="shared" si="4"/>
        <v>16</v>
      </c>
      <c r="AL10" s="84">
        <f t="shared" si="5"/>
        <v>45.71428571</v>
      </c>
    </row>
    <row r="11">
      <c r="A11" s="88" t="s">
        <v>47</v>
      </c>
      <c r="B11" s="88" t="s">
        <v>154</v>
      </c>
      <c r="C11" s="69" t="s">
        <v>41</v>
      </c>
      <c r="D11" s="69" t="s">
        <v>41</v>
      </c>
      <c r="E11" s="69" t="s">
        <v>41</v>
      </c>
      <c r="F11" s="69" t="s">
        <v>40</v>
      </c>
      <c r="G11" s="69" t="s">
        <v>40</v>
      </c>
      <c r="H11" s="69" t="s">
        <v>41</v>
      </c>
      <c r="I11" s="69" t="s">
        <v>41</v>
      </c>
      <c r="J11" s="69" t="s">
        <v>41</v>
      </c>
      <c r="K11" s="69" t="s">
        <v>41</v>
      </c>
      <c r="L11" s="69" t="s">
        <v>41</v>
      </c>
      <c r="M11" s="69" t="s">
        <v>40</v>
      </c>
      <c r="N11" s="69" t="s">
        <v>68</v>
      </c>
      <c r="O11" s="69" t="s">
        <v>149</v>
      </c>
      <c r="P11" s="69" t="s">
        <v>40</v>
      </c>
      <c r="Q11" s="69" t="s">
        <v>41</v>
      </c>
      <c r="R11" s="69" t="s">
        <v>148</v>
      </c>
      <c r="S11" s="69" t="s">
        <v>148</v>
      </c>
      <c r="T11" s="69" t="s">
        <v>40</v>
      </c>
      <c r="U11" s="69" t="s">
        <v>40</v>
      </c>
      <c r="V11" s="69" t="s">
        <v>44</v>
      </c>
      <c r="W11" s="69" t="s">
        <v>44</v>
      </c>
      <c r="X11" s="70" t="s">
        <v>44</v>
      </c>
      <c r="Y11" s="70" t="s">
        <v>41</v>
      </c>
      <c r="Z11" s="70" t="s">
        <v>41</v>
      </c>
      <c r="AA11" s="70" t="s">
        <v>40</v>
      </c>
      <c r="AB11" s="70" t="s">
        <v>40</v>
      </c>
      <c r="AC11" s="70" t="s">
        <v>41</v>
      </c>
      <c r="AD11" s="70" t="s">
        <v>44</v>
      </c>
      <c r="AE11" s="70" t="s">
        <v>41</v>
      </c>
      <c r="AF11" s="70" t="s">
        <v>41</v>
      </c>
      <c r="AG11" s="70"/>
      <c r="AH11" s="49">
        <f t="shared" si="1"/>
        <v>2</v>
      </c>
      <c r="AI11" s="49">
        <f t="shared" si="2"/>
        <v>1</v>
      </c>
      <c r="AJ11" s="49">
        <f t="shared" si="3"/>
        <v>8</v>
      </c>
      <c r="AK11" s="49">
        <f t="shared" si="4"/>
        <v>3</v>
      </c>
      <c r="AL11" s="84">
        <f t="shared" si="5"/>
        <v>8.571428571</v>
      </c>
    </row>
    <row r="12">
      <c r="A12" s="88" t="s">
        <v>155</v>
      </c>
      <c r="B12" s="13" t="s">
        <v>156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70" t="s">
        <v>58</v>
      </c>
      <c r="Y12" s="70" t="s">
        <v>58</v>
      </c>
      <c r="Z12" s="70" t="s">
        <v>58</v>
      </c>
      <c r="AA12" s="70" t="s">
        <v>40</v>
      </c>
      <c r="AB12" s="70" t="s">
        <v>40</v>
      </c>
      <c r="AC12" s="70" t="s">
        <v>58</v>
      </c>
      <c r="AD12" s="70" t="s">
        <v>58</v>
      </c>
      <c r="AE12" s="70" t="s">
        <v>40</v>
      </c>
      <c r="AF12" s="70" t="s">
        <v>40</v>
      </c>
      <c r="AG12" s="70"/>
      <c r="AH12" s="49">
        <f t="shared" si="1"/>
        <v>0</v>
      </c>
      <c r="AI12" s="49">
        <f t="shared" si="2"/>
        <v>0</v>
      </c>
      <c r="AJ12" s="49">
        <f t="shared" si="3"/>
        <v>4</v>
      </c>
      <c r="AK12" s="49">
        <f t="shared" si="4"/>
        <v>0</v>
      </c>
      <c r="AL12" s="84">
        <f t="shared" si="5"/>
        <v>0</v>
      </c>
    </row>
    <row r="13">
      <c r="A13" s="13" t="s">
        <v>104</v>
      </c>
      <c r="B13" s="13" t="s">
        <v>157</v>
      </c>
      <c r="C13" s="69" t="s">
        <v>158</v>
      </c>
      <c r="D13" s="69" t="s">
        <v>158</v>
      </c>
      <c r="E13" s="69" t="s">
        <v>158</v>
      </c>
      <c r="F13" s="69" t="s">
        <v>40</v>
      </c>
      <c r="G13" s="69" t="s">
        <v>40</v>
      </c>
      <c r="H13" s="69" t="s">
        <v>158</v>
      </c>
      <c r="I13" s="69" t="s">
        <v>158</v>
      </c>
      <c r="J13" s="69" t="s">
        <v>158</v>
      </c>
      <c r="K13" s="69" t="s">
        <v>158</v>
      </c>
      <c r="L13" s="69" t="s">
        <v>158</v>
      </c>
      <c r="M13" s="69" t="s">
        <v>40</v>
      </c>
      <c r="N13" s="69" t="s">
        <v>40</v>
      </c>
      <c r="O13" s="69" t="s">
        <v>159</v>
      </c>
      <c r="P13" s="69" t="s">
        <v>159</v>
      </c>
      <c r="Q13" s="69" t="s">
        <v>159</v>
      </c>
      <c r="R13" s="69" t="s">
        <v>159</v>
      </c>
      <c r="S13" s="69" t="s">
        <v>159</v>
      </c>
      <c r="T13" s="69" t="s">
        <v>40</v>
      </c>
      <c r="U13" s="69" t="s">
        <v>40</v>
      </c>
      <c r="V13" s="69" t="s">
        <v>159</v>
      </c>
      <c r="W13" s="69" t="s">
        <v>159</v>
      </c>
      <c r="X13" s="69" t="s">
        <v>159</v>
      </c>
      <c r="Y13" s="69" t="s">
        <v>159</v>
      </c>
      <c r="Z13" s="69" t="s">
        <v>159</v>
      </c>
      <c r="AA13" s="69" t="s">
        <v>40</v>
      </c>
      <c r="AB13" s="69" t="s">
        <v>40</v>
      </c>
      <c r="AC13" s="69" t="s">
        <v>158</v>
      </c>
      <c r="AD13" s="69" t="s">
        <v>158</v>
      </c>
      <c r="AE13" s="69" t="s">
        <v>158</v>
      </c>
      <c r="AF13" s="69" t="s">
        <v>158</v>
      </c>
      <c r="AG13" s="69"/>
      <c r="AH13" s="49">
        <f t="shared" ref="AH13:AH15" si="6">COUNTIF(C13:AG13,"SD-D")</f>
        <v>12</v>
      </c>
      <c r="AI13" s="49">
        <f t="shared" ref="AI13:AI15" si="7">COUNTIF(C13:AG13,"SD-N")</f>
        <v>10</v>
      </c>
      <c r="AJ13" s="49">
        <f t="shared" si="3"/>
        <v>8</v>
      </c>
      <c r="AK13" s="49">
        <f t="shared" si="4"/>
        <v>22</v>
      </c>
      <c r="AL13" s="84">
        <f t="shared" ref="AL13:AL15" si="8">(AK13*10)/4</f>
        <v>55</v>
      </c>
    </row>
    <row r="14">
      <c r="A14" s="13" t="s">
        <v>121</v>
      </c>
      <c r="B14" s="13" t="s">
        <v>160</v>
      </c>
      <c r="C14" s="69" t="s">
        <v>159</v>
      </c>
      <c r="D14" s="69" t="s">
        <v>159</v>
      </c>
      <c r="E14" s="69" t="s">
        <v>159</v>
      </c>
      <c r="F14" s="69" t="s">
        <v>40</v>
      </c>
      <c r="G14" s="69" t="s">
        <v>40</v>
      </c>
      <c r="H14" s="69" t="s">
        <v>159</v>
      </c>
      <c r="I14" s="69" t="s">
        <v>159</v>
      </c>
      <c r="J14" s="69" t="s">
        <v>159</v>
      </c>
      <c r="K14" s="69" t="s">
        <v>159</v>
      </c>
      <c r="L14" s="69" t="s">
        <v>159</v>
      </c>
      <c r="M14" s="69" t="s">
        <v>40</v>
      </c>
      <c r="N14" s="69" t="s">
        <v>40</v>
      </c>
      <c r="O14" s="69" t="s">
        <v>158</v>
      </c>
      <c r="P14" s="69" t="s">
        <v>158</v>
      </c>
      <c r="Q14" s="69" t="s">
        <v>158</v>
      </c>
      <c r="R14" s="69" t="s">
        <v>158</v>
      </c>
      <c r="S14" s="69" t="s">
        <v>158</v>
      </c>
      <c r="T14" s="69" t="s">
        <v>40</v>
      </c>
      <c r="U14" s="69" t="s">
        <v>40</v>
      </c>
      <c r="V14" s="69" t="s">
        <v>158</v>
      </c>
      <c r="W14" s="69" t="s">
        <v>158</v>
      </c>
      <c r="X14" s="69" t="s">
        <v>158</v>
      </c>
      <c r="Y14" s="69" t="s">
        <v>158</v>
      </c>
      <c r="Z14" s="69" t="s">
        <v>158</v>
      </c>
      <c r="AA14" s="69" t="s">
        <v>40</v>
      </c>
      <c r="AB14" s="69" t="s">
        <v>40</v>
      </c>
      <c r="AC14" s="69" t="s">
        <v>159</v>
      </c>
      <c r="AD14" s="69" t="s">
        <v>159</v>
      </c>
      <c r="AE14" s="69" t="s">
        <v>159</v>
      </c>
      <c r="AF14" s="69" t="s">
        <v>159</v>
      </c>
      <c r="AG14" s="69"/>
      <c r="AH14" s="49">
        <f t="shared" si="6"/>
        <v>10</v>
      </c>
      <c r="AI14" s="49">
        <f t="shared" si="7"/>
        <v>12</v>
      </c>
      <c r="AJ14" s="49">
        <f t="shared" si="3"/>
        <v>8</v>
      </c>
      <c r="AK14" s="49">
        <f t="shared" si="4"/>
        <v>22</v>
      </c>
      <c r="AL14" s="84">
        <f t="shared" si="8"/>
        <v>55</v>
      </c>
    </row>
    <row r="15">
      <c r="A15" s="13" t="s">
        <v>141</v>
      </c>
      <c r="B15" s="13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49">
        <f t="shared" si="6"/>
        <v>0</v>
      </c>
      <c r="AI15" s="49">
        <f t="shared" si="7"/>
        <v>0</v>
      </c>
      <c r="AJ15" s="49">
        <f t="shared" si="3"/>
        <v>0</v>
      </c>
      <c r="AK15" s="49">
        <f t="shared" si="4"/>
        <v>0</v>
      </c>
      <c r="AL15" s="84">
        <f t="shared" si="8"/>
        <v>0</v>
      </c>
    </row>
    <row r="16">
      <c r="A16" s="88"/>
      <c r="B16" s="88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49"/>
      <c r="AI16" s="49"/>
      <c r="AJ16" s="49"/>
      <c r="AK16" s="49"/>
      <c r="AL16" s="84"/>
    </row>
    <row r="17">
      <c r="A17" s="23" t="s">
        <v>161</v>
      </c>
      <c r="B17" s="23"/>
      <c r="C17" s="24">
        <f t="shared" ref="C17:AG17" si="9">COUNTIF(C6:C11,"SOC-D")</f>
        <v>1</v>
      </c>
      <c r="D17" s="24">
        <f t="shared" si="9"/>
        <v>1</v>
      </c>
      <c r="E17" s="24">
        <f t="shared" si="9"/>
        <v>1</v>
      </c>
      <c r="F17" s="24">
        <f t="shared" si="9"/>
        <v>1</v>
      </c>
      <c r="G17" s="24">
        <f t="shared" si="9"/>
        <v>1</v>
      </c>
      <c r="H17" s="24">
        <f t="shared" si="9"/>
        <v>1</v>
      </c>
      <c r="I17" s="24">
        <f t="shared" si="9"/>
        <v>1</v>
      </c>
      <c r="J17" s="24">
        <f t="shared" si="9"/>
        <v>1</v>
      </c>
      <c r="K17" s="24">
        <f t="shared" si="9"/>
        <v>1</v>
      </c>
      <c r="L17" s="24">
        <f t="shared" si="9"/>
        <v>1</v>
      </c>
      <c r="M17" s="24">
        <f t="shared" si="9"/>
        <v>1</v>
      </c>
      <c r="N17" s="24">
        <f t="shared" si="9"/>
        <v>1</v>
      </c>
      <c r="O17" s="24">
        <f t="shared" si="9"/>
        <v>1</v>
      </c>
      <c r="P17" s="24">
        <f t="shared" si="9"/>
        <v>1</v>
      </c>
      <c r="Q17" s="24">
        <f t="shared" si="9"/>
        <v>1</v>
      </c>
      <c r="R17" s="24">
        <f t="shared" si="9"/>
        <v>1</v>
      </c>
      <c r="S17" s="24">
        <f t="shared" si="9"/>
        <v>1</v>
      </c>
      <c r="T17" s="24">
        <f t="shared" si="9"/>
        <v>1</v>
      </c>
      <c r="U17" s="24">
        <f t="shared" si="9"/>
        <v>1</v>
      </c>
      <c r="V17" s="24">
        <f t="shared" si="9"/>
        <v>1</v>
      </c>
      <c r="W17" s="24">
        <f t="shared" si="9"/>
        <v>1</v>
      </c>
      <c r="X17" s="24">
        <f t="shared" si="9"/>
        <v>1</v>
      </c>
      <c r="Y17" s="24">
        <f t="shared" si="9"/>
        <v>1</v>
      </c>
      <c r="Z17" s="24">
        <f t="shared" si="9"/>
        <v>1</v>
      </c>
      <c r="AA17" s="24">
        <f t="shared" si="9"/>
        <v>1</v>
      </c>
      <c r="AB17" s="24">
        <f t="shared" si="9"/>
        <v>1</v>
      </c>
      <c r="AC17" s="24">
        <f t="shared" si="9"/>
        <v>1</v>
      </c>
      <c r="AD17" s="24">
        <f t="shared" si="9"/>
        <v>1</v>
      </c>
      <c r="AE17" s="24">
        <f t="shared" si="9"/>
        <v>1</v>
      </c>
      <c r="AF17" s="24">
        <f t="shared" si="9"/>
        <v>1</v>
      </c>
      <c r="AG17" s="24">
        <f t="shared" si="9"/>
        <v>0</v>
      </c>
      <c r="AK17" s="49"/>
    </row>
    <row r="18">
      <c r="A18" s="26" t="s">
        <v>162</v>
      </c>
      <c r="B18" s="26"/>
      <c r="C18" s="27">
        <f t="shared" ref="C18:AG18" si="10">COUNTIF(C6:C11,"SOC-N")</f>
        <v>1</v>
      </c>
      <c r="D18" s="27">
        <f t="shared" si="10"/>
        <v>1</v>
      </c>
      <c r="E18" s="27">
        <f t="shared" si="10"/>
        <v>1</v>
      </c>
      <c r="F18" s="27">
        <f t="shared" si="10"/>
        <v>1</v>
      </c>
      <c r="G18" s="27">
        <f t="shared" si="10"/>
        <v>1</v>
      </c>
      <c r="H18" s="27">
        <f t="shared" si="10"/>
        <v>1</v>
      </c>
      <c r="I18" s="27">
        <f t="shared" si="10"/>
        <v>1</v>
      </c>
      <c r="J18" s="27">
        <f t="shared" si="10"/>
        <v>1</v>
      </c>
      <c r="K18" s="27">
        <f t="shared" si="10"/>
        <v>1</v>
      </c>
      <c r="L18" s="27">
        <f t="shared" si="10"/>
        <v>1</v>
      </c>
      <c r="M18" s="27">
        <f t="shared" si="10"/>
        <v>1</v>
      </c>
      <c r="N18" s="27">
        <f t="shared" si="10"/>
        <v>1</v>
      </c>
      <c r="O18" s="27">
        <f t="shared" si="10"/>
        <v>2</v>
      </c>
      <c r="P18" s="27">
        <f t="shared" si="10"/>
        <v>1</v>
      </c>
      <c r="Q18" s="27">
        <f t="shared" si="10"/>
        <v>1</v>
      </c>
      <c r="R18" s="27">
        <f t="shared" si="10"/>
        <v>2</v>
      </c>
      <c r="S18" s="27">
        <f t="shared" si="10"/>
        <v>2</v>
      </c>
      <c r="T18" s="27">
        <f t="shared" si="10"/>
        <v>1</v>
      </c>
      <c r="U18" s="27">
        <f t="shared" si="10"/>
        <v>1</v>
      </c>
      <c r="V18" s="27">
        <f t="shared" si="10"/>
        <v>1</v>
      </c>
      <c r="W18" s="27">
        <f t="shared" si="10"/>
        <v>1</v>
      </c>
      <c r="X18" s="27">
        <f t="shared" si="10"/>
        <v>1</v>
      </c>
      <c r="Y18" s="27">
        <f t="shared" si="10"/>
        <v>1</v>
      </c>
      <c r="Z18" s="27">
        <f t="shared" si="10"/>
        <v>1</v>
      </c>
      <c r="AA18" s="27">
        <f t="shared" si="10"/>
        <v>1</v>
      </c>
      <c r="AB18" s="27">
        <f t="shared" si="10"/>
        <v>1</v>
      </c>
      <c r="AC18" s="27">
        <f t="shared" si="10"/>
        <v>1</v>
      </c>
      <c r="AD18" s="27">
        <f t="shared" si="10"/>
        <v>1</v>
      </c>
      <c r="AE18" s="27">
        <f t="shared" si="10"/>
        <v>1</v>
      </c>
      <c r="AF18" s="27">
        <f t="shared" si="10"/>
        <v>1</v>
      </c>
      <c r="AG18" s="27">
        <f t="shared" si="10"/>
        <v>0</v>
      </c>
    </row>
    <row r="19">
      <c r="C19" s="85" t="s">
        <v>120</v>
      </c>
      <c r="AH19" s="44" t="s">
        <v>38</v>
      </c>
      <c r="AI19" s="45" t="s">
        <v>39</v>
      </c>
      <c r="AJ19" s="46" t="s">
        <v>40</v>
      </c>
      <c r="AK19" s="48" t="s">
        <v>42</v>
      </c>
      <c r="AL19" s="54" t="s">
        <v>76</v>
      </c>
    </row>
    <row r="20">
      <c r="A20" s="23" t="s">
        <v>163</v>
      </c>
      <c r="B20" s="23"/>
      <c r="C20" s="24">
        <f t="shared" ref="C20:AG20" si="11">COUNTIF(C13:C15,"SD-D")</f>
        <v>1</v>
      </c>
      <c r="D20" s="24">
        <f t="shared" si="11"/>
        <v>1</v>
      </c>
      <c r="E20" s="24">
        <f t="shared" si="11"/>
        <v>1</v>
      </c>
      <c r="F20" s="24">
        <f t="shared" si="11"/>
        <v>0</v>
      </c>
      <c r="G20" s="24">
        <f t="shared" si="11"/>
        <v>0</v>
      </c>
      <c r="H20" s="24">
        <f t="shared" si="11"/>
        <v>1</v>
      </c>
      <c r="I20" s="24">
        <f t="shared" si="11"/>
        <v>1</v>
      </c>
      <c r="J20" s="24">
        <f t="shared" si="11"/>
        <v>1</v>
      </c>
      <c r="K20" s="24">
        <f t="shared" si="11"/>
        <v>1</v>
      </c>
      <c r="L20" s="24">
        <f t="shared" si="11"/>
        <v>1</v>
      </c>
      <c r="M20" s="24">
        <f t="shared" si="11"/>
        <v>0</v>
      </c>
      <c r="N20" s="24">
        <f t="shared" si="11"/>
        <v>0</v>
      </c>
      <c r="O20" s="24">
        <f t="shared" si="11"/>
        <v>1</v>
      </c>
      <c r="P20" s="24">
        <f t="shared" si="11"/>
        <v>1</v>
      </c>
      <c r="Q20" s="24">
        <f t="shared" si="11"/>
        <v>1</v>
      </c>
      <c r="R20" s="24">
        <f t="shared" si="11"/>
        <v>1</v>
      </c>
      <c r="S20" s="24">
        <f t="shared" si="11"/>
        <v>1</v>
      </c>
      <c r="T20" s="24">
        <f t="shared" si="11"/>
        <v>0</v>
      </c>
      <c r="U20" s="24">
        <f t="shared" si="11"/>
        <v>0</v>
      </c>
      <c r="V20" s="24">
        <f t="shared" si="11"/>
        <v>1</v>
      </c>
      <c r="W20" s="24">
        <f t="shared" si="11"/>
        <v>1</v>
      </c>
      <c r="X20" s="24">
        <f t="shared" si="11"/>
        <v>1</v>
      </c>
      <c r="Y20" s="24">
        <f t="shared" si="11"/>
        <v>1</v>
      </c>
      <c r="Z20" s="24">
        <f t="shared" si="11"/>
        <v>1</v>
      </c>
      <c r="AA20" s="24">
        <f t="shared" si="11"/>
        <v>0</v>
      </c>
      <c r="AB20" s="24">
        <f t="shared" si="11"/>
        <v>0</v>
      </c>
      <c r="AC20" s="24">
        <f t="shared" si="11"/>
        <v>1</v>
      </c>
      <c r="AD20" s="24">
        <f t="shared" si="11"/>
        <v>1</v>
      </c>
      <c r="AE20" s="24">
        <f t="shared" si="11"/>
        <v>1</v>
      </c>
      <c r="AF20" s="24">
        <f t="shared" si="11"/>
        <v>1</v>
      </c>
      <c r="AG20" s="24">
        <f t="shared" si="11"/>
        <v>0</v>
      </c>
      <c r="AH20" s="53"/>
      <c r="AI20" s="53"/>
      <c r="AJ20" s="53"/>
      <c r="AK20" s="53"/>
      <c r="AL20" s="53"/>
    </row>
    <row r="21">
      <c r="A21" s="26" t="s">
        <v>164</v>
      </c>
      <c r="B21" s="26"/>
      <c r="C21" s="27">
        <f t="shared" ref="C21:AG21" si="12">COUNTIF(C13:C15,"SD-N")</f>
        <v>1</v>
      </c>
      <c r="D21" s="27">
        <f t="shared" si="12"/>
        <v>1</v>
      </c>
      <c r="E21" s="27">
        <f t="shared" si="12"/>
        <v>1</v>
      </c>
      <c r="F21" s="27">
        <f t="shared" si="12"/>
        <v>0</v>
      </c>
      <c r="G21" s="27">
        <f t="shared" si="12"/>
        <v>0</v>
      </c>
      <c r="H21" s="27">
        <f t="shared" si="12"/>
        <v>1</v>
      </c>
      <c r="I21" s="27">
        <f t="shared" si="12"/>
        <v>1</v>
      </c>
      <c r="J21" s="27">
        <f t="shared" si="12"/>
        <v>1</v>
      </c>
      <c r="K21" s="27">
        <f t="shared" si="12"/>
        <v>1</v>
      </c>
      <c r="L21" s="27">
        <f t="shared" si="12"/>
        <v>1</v>
      </c>
      <c r="M21" s="27">
        <f t="shared" si="12"/>
        <v>0</v>
      </c>
      <c r="N21" s="27">
        <f t="shared" si="12"/>
        <v>0</v>
      </c>
      <c r="O21" s="27">
        <f t="shared" si="12"/>
        <v>1</v>
      </c>
      <c r="P21" s="27">
        <f t="shared" si="12"/>
        <v>1</v>
      </c>
      <c r="Q21" s="27">
        <f t="shared" si="12"/>
        <v>1</v>
      </c>
      <c r="R21" s="27">
        <f t="shared" si="12"/>
        <v>1</v>
      </c>
      <c r="S21" s="27">
        <f t="shared" si="12"/>
        <v>1</v>
      </c>
      <c r="T21" s="27">
        <f t="shared" si="12"/>
        <v>0</v>
      </c>
      <c r="U21" s="27">
        <f t="shared" si="12"/>
        <v>0</v>
      </c>
      <c r="V21" s="27">
        <f t="shared" si="12"/>
        <v>1</v>
      </c>
      <c r="W21" s="27">
        <f t="shared" si="12"/>
        <v>1</v>
      </c>
      <c r="X21" s="27">
        <f t="shared" si="12"/>
        <v>1</v>
      </c>
      <c r="Y21" s="27">
        <f t="shared" si="12"/>
        <v>1</v>
      </c>
      <c r="Z21" s="27">
        <f t="shared" si="12"/>
        <v>1</v>
      </c>
      <c r="AA21" s="27">
        <f t="shared" si="12"/>
        <v>0</v>
      </c>
      <c r="AB21" s="27">
        <f t="shared" si="12"/>
        <v>0</v>
      </c>
      <c r="AC21" s="27">
        <f t="shared" si="12"/>
        <v>1</v>
      </c>
      <c r="AD21" s="27">
        <f t="shared" si="12"/>
        <v>1</v>
      </c>
      <c r="AE21" s="27">
        <f t="shared" si="12"/>
        <v>1</v>
      </c>
      <c r="AF21" s="27">
        <f t="shared" si="12"/>
        <v>1</v>
      </c>
      <c r="AG21" s="27">
        <f t="shared" si="12"/>
        <v>0</v>
      </c>
      <c r="AH21" s="22"/>
      <c r="AI21" s="22"/>
      <c r="AJ21" s="22"/>
      <c r="AK21" s="22"/>
      <c r="AL21" s="22"/>
    </row>
    <row r="22">
      <c r="J22" s="28"/>
      <c r="K22" s="11"/>
      <c r="L22" s="68"/>
      <c r="M22" s="68"/>
      <c r="N22" s="68"/>
      <c r="O22" s="68"/>
      <c r="P22" s="68"/>
      <c r="Q22" s="68"/>
      <c r="R22" s="68"/>
      <c r="S22" s="11"/>
      <c r="T22" s="11"/>
      <c r="U22" s="11"/>
      <c r="V22" s="11"/>
      <c r="W22" s="43" t="s">
        <v>0</v>
      </c>
      <c r="X22" s="11"/>
      <c r="AH22" s="22"/>
      <c r="AI22" s="22"/>
      <c r="AJ22" s="22"/>
      <c r="AK22" s="22"/>
      <c r="AL22" s="22"/>
    </row>
    <row r="23">
      <c r="D23" s="29" t="s">
        <v>51</v>
      </c>
      <c r="E23" s="30"/>
      <c r="F23" s="30"/>
      <c r="G23" s="31"/>
    </row>
    <row r="24">
      <c r="A24" s="6"/>
      <c r="B24" s="6"/>
      <c r="C24" s="86"/>
      <c r="D24" s="33" t="s">
        <v>38</v>
      </c>
      <c r="E24" s="1" t="s">
        <v>52</v>
      </c>
      <c r="G24" s="34"/>
      <c r="H24" s="86"/>
      <c r="I24" s="13"/>
      <c r="P24" s="71"/>
      <c r="Q24" s="19"/>
      <c r="V24" s="71"/>
      <c r="W24" s="71"/>
      <c r="X24" s="71"/>
      <c r="Y24" s="71"/>
      <c r="Z24" s="71"/>
      <c r="AA24" s="71"/>
    </row>
    <row r="25">
      <c r="A25" s="6"/>
      <c r="B25" s="6"/>
      <c r="C25" s="87"/>
      <c r="D25" s="33" t="s">
        <v>39</v>
      </c>
      <c r="E25" s="1" t="s">
        <v>53</v>
      </c>
      <c r="G25" s="34"/>
      <c r="H25" s="87"/>
      <c r="K25" s="13"/>
      <c r="P25" s="70"/>
      <c r="Q25" s="13"/>
      <c r="V25" s="70"/>
      <c r="W25" s="70"/>
      <c r="X25" s="70"/>
      <c r="Y25" s="70"/>
      <c r="Z25" s="70"/>
      <c r="AA25" s="70"/>
      <c r="AE25" s="86"/>
      <c r="AF25" s="86"/>
      <c r="AG25" s="86"/>
      <c r="AH25" s="94"/>
      <c r="AI25" s="94"/>
      <c r="AJ25" s="94"/>
      <c r="AK25" s="94"/>
      <c r="AL25" s="94"/>
    </row>
    <row r="26">
      <c r="A26" s="12"/>
      <c r="B26" s="12"/>
      <c r="C26" s="71"/>
      <c r="D26" s="33" t="s">
        <v>41</v>
      </c>
      <c r="E26" s="1" t="s">
        <v>54</v>
      </c>
      <c r="G26" s="34"/>
      <c r="H26" s="71"/>
      <c r="I26" s="19"/>
      <c r="P26" s="61"/>
      <c r="Q26" s="13"/>
      <c r="V26" s="60"/>
      <c r="W26" s="60"/>
      <c r="X26" s="60"/>
      <c r="Y26" s="60"/>
      <c r="Z26" s="61"/>
      <c r="AA26" s="61"/>
      <c r="AE26" s="87"/>
      <c r="AF26" s="87"/>
      <c r="AG26" s="87"/>
      <c r="AH26" s="87"/>
      <c r="AI26" s="87"/>
      <c r="AJ26" s="87"/>
      <c r="AK26" s="87"/>
      <c r="AL26" s="87"/>
    </row>
    <row r="27">
      <c r="C27" s="70"/>
      <c r="D27" s="33" t="s">
        <v>55</v>
      </c>
      <c r="E27" s="1" t="s">
        <v>56</v>
      </c>
      <c r="G27" s="34"/>
      <c r="H27" s="71"/>
      <c r="I27" s="13"/>
      <c r="P27" s="70"/>
      <c r="Q27" s="13"/>
      <c r="V27" s="70"/>
      <c r="W27" s="88"/>
      <c r="X27" s="88"/>
      <c r="Y27" s="70"/>
      <c r="Z27" s="70"/>
      <c r="AA27" s="70"/>
      <c r="AE27" s="71"/>
      <c r="AF27" s="71"/>
      <c r="AG27" s="71"/>
      <c r="AH27" s="95"/>
      <c r="AI27" s="95"/>
      <c r="AJ27" s="95"/>
      <c r="AK27" s="95"/>
      <c r="AL27" s="96"/>
    </row>
    <row r="28">
      <c r="A28" s="97"/>
      <c r="B28" s="97"/>
      <c r="C28" s="68"/>
      <c r="D28" s="33" t="s">
        <v>40</v>
      </c>
      <c r="E28" s="1" t="s">
        <v>57</v>
      </c>
      <c r="G28" s="34"/>
      <c r="H28" s="70"/>
      <c r="I28" s="13"/>
      <c r="P28" s="70"/>
      <c r="Q28" s="13"/>
      <c r="V28" s="20"/>
      <c r="W28" s="13"/>
      <c r="AE28" s="71"/>
      <c r="AF28" s="71"/>
      <c r="AG28" s="71"/>
      <c r="AH28" s="98"/>
      <c r="AI28" s="98"/>
      <c r="AJ28" s="98"/>
      <c r="AK28" s="98"/>
      <c r="AL28" s="99"/>
    </row>
    <row r="29">
      <c r="A29" s="97"/>
      <c r="B29" s="97"/>
      <c r="C29" s="60"/>
      <c r="D29" s="33" t="s">
        <v>58</v>
      </c>
      <c r="E29" s="1" t="s">
        <v>59</v>
      </c>
      <c r="G29" s="34"/>
      <c r="H29" s="61"/>
      <c r="I29" s="13"/>
      <c r="P29" s="25"/>
      <c r="V29" s="20"/>
      <c r="W29" s="89"/>
      <c r="X29" s="89"/>
      <c r="Y29" s="89"/>
      <c r="Z29" s="89"/>
      <c r="AA29" s="89"/>
      <c r="AB29" s="89"/>
      <c r="AC29" s="89"/>
      <c r="AD29" s="89"/>
      <c r="AE29" s="70"/>
      <c r="AF29" s="70"/>
      <c r="AG29" s="70"/>
      <c r="AH29" s="98"/>
      <c r="AI29" s="98"/>
      <c r="AJ29" s="98"/>
      <c r="AK29" s="98"/>
      <c r="AL29" s="99"/>
    </row>
    <row r="30">
      <c r="A30" s="87"/>
      <c r="B30" s="87"/>
      <c r="C30" s="70"/>
      <c r="D30" s="33" t="s">
        <v>60</v>
      </c>
      <c r="E30" s="1" t="s">
        <v>61</v>
      </c>
      <c r="G30" s="34"/>
      <c r="H30" s="70"/>
      <c r="I30" s="55"/>
      <c r="P30" s="25"/>
      <c r="T30" s="1" t="s">
        <v>0</v>
      </c>
      <c r="V30" s="20"/>
      <c r="W30" s="89"/>
      <c r="X30" s="89"/>
      <c r="Y30" s="89"/>
      <c r="Z30" s="89"/>
      <c r="AA30" s="89"/>
      <c r="AB30" s="89"/>
      <c r="AC30" s="89"/>
      <c r="AD30" s="89"/>
      <c r="AE30" s="61"/>
      <c r="AF30" s="61"/>
      <c r="AG30" s="61"/>
      <c r="AH30" s="98"/>
      <c r="AI30" s="98"/>
      <c r="AJ30" s="98"/>
      <c r="AK30" s="98"/>
      <c r="AL30" s="99"/>
    </row>
    <row r="31">
      <c r="A31" s="87"/>
      <c r="B31" s="87"/>
      <c r="C31" s="70"/>
      <c r="D31" s="33" t="s">
        <v>44</v>
      </c>
      <c r="E31" s="1" t="s">
        <v>62</v>
      </c>
      <c r="G31" s="34"/>
      <c r="H31" s="70"/>
      <c r="P31" s="20"/>
      <c r="W31" s="89"/>
      <c r="X31" s="89"/>
      <c r="Y31" s="89"/>
      <c r="Z31" s="89"/>
      <c r="AA31" s="89"/>
      <c r="AB31" s="89"/>
      <c r="AC31" s="89"/>
      <c r="AD31" s="89"/>
      <c r="AE31" s="70"/>
      <c r="AF31" s="70"/>
      <c r="AG31" s="70"/>
      <c r="AH31" s="98"/>
      <c r="AI31" s="98"/>
      <c r="AJ31" s="98"/>
      <c r="AK31" s="98"/>
      <c r="AL31" s="99"/>
    </row>
    <row r="32">
      <c r="A32" s="71"/>
      <c r="B32" s="71"/>
      <c r="C32" s="25"/>
      <c r="D32" s="33" t="s">
        <v>63</v>
      </c>
      <c r="E32" s="1" t="s">
        <v>64</v>
      </c>
      <c r="G32" s="34"/>
      <c r="H32" s="25"/>
      <c r="AE32" s="25"/>
      <c r="AF32" s="25"/>
      <c r="AG32" s="25"/>
      <c r="AH32" s="68"/>
      <c r="AI32" s="68"/>
      <c r="AJ32" s="68"/>
      <c r="AK32" s="98"/>
      <c r="AL32" s="68"/>
    </row>
    <row r="33">
      <c r="A33" s="71"/>
      <c r="B33" s="71"/>
      <c r="C33" s="25"/>
      <c r="D33" s="33" t="s">
        <v>65</v>
      </c>
      <c r="E33" s="1" t="s">
        <v>66</v>
      </c>
      <c r="G33" s="34"/>
      <c r="H33" s="25"/>
      <c r="AE33" s="25"/>
      <c r="AF33" s="25"/>
      <c r="AG33" s="25"/>
      <c r="AH33" s="68"/>
      <c r="AI33" s="68"/>
      <c r="AJ33" s="68"/>
      <c r="AK33" s="68"/>
      <c r="AL33" s="68"/>
    </row>
    <row r="34">
      <c r="D34" s="33" t="s">
        <v>46</v>
      </c>
      <c r="E34" s="1" t="s">
        <v>67</v>
      </c>
      <c r="G34" s="34"/>
    </row>
    <row r="35">
      <c r="D35" s="35" t="s">
        <v>68</v>
      </c>
      <c r="E35" s="36" t="s">
        <v>69</v>
      </c>
      <c r="F35" s="8"/>
      <c r="G35" s="37"/>
    </row>
    <row r="36">
      <c r="AH36" s="22"/>
      <c r="AI36" s="22"/>
      <c r="AJ36" s="22"/>
      <c r="AK36" s="22"/>
      <c r="AL36" s="22"/>
    </row>
    <row r="37">
      <c r="AH37" s="22"/>
      <c r="AI37" s="22"/>
      <c r="AJ37" s="22"/>
      <c r="AK37" s="22"/>
      <c r="AL37" s="22"/>
    </row>
    <row r="51">
      <c r="F51" s="1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</row>
    <row r="54">
      <c r="F54" s="69"/>
      <c r="G54" s="69"/>
      <c r="H54" s="69"/>
      <c r="I54" s="69"/>
      <c r="J54" s="69"/>
      <c r="K54" s="69"/>
      <c r="L54" s="69"/>
      <c r="M54" s="60"/>
      <c r="N54" s="60"/>
      <c r="O54" s="60"/>
      <c r="P54" s="60"/>
      <c r="Q54" s="61"/>
      <c r="R54" s="61"/>
      <c r="S54" s="61"/>
      <c r="T54" s="70"/>
      <c r="U54" s="70"/>
      <c r="V54" s="70"/>
    </row>
    <row r="55"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0"/>
      <c r="U55" s="60"/>
      <c r="V55" s="60"/>
    </row>
    <row r="56">
      <c r="F56" s="60"/>
      <c r="G56" s="60"/>
      <c r="H56" s="60"/>
      <c r="I56" s="60"/>
      <c r="J56" s="60"/>
      <c r="K56" s="61"/>
      <c r="L56" s="61"/>
      <c r="M56" s="70"/>
      <c r="N56" s="70"/>
      <c r="O56" s="70"/>
      <c r="P56" s="70"/>
      <c r="Q56" s="70"/>
      <c r="R56" s="70"/>
      <c r="S56" s="70"/>
      <c r="T56" s="70"/>
      <c r="U56" s="70"/>
      <c r="V56" s="70"/>
    </row>
    <row r="57"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</row>
  </sheetData>
  <mergeCells count="15">
    <mergeCell ref="E28:G28"/>
    <mergeCell ref="E29:G29"/>
    <mergeCell ref="E30:G30"/>
    <mergeCell ref="E31:G31"/>
    <mergeCell ref="E32:G32"/>
    <mergeCell ref="E33:G33"/>
    <mergeCell ref="E34:G34"/>
    <mergeCell ref="E35:G35"/>
    <mergeCell ref="C1:AD3"/>
    <mergeCell ref="C19:AG19"/>
    <mergeCell ref="D23:G23"/>
    <mergeCell ref="E24:G24"/>
    <mergeCell ref="E25:G25"/>
    <mergeCell ref="E26:G26"/>
    <mergeCell ref="E27:G27"/>
  </mergeCells>
  <conditionalFormatting sqref="C9:I9 V28 F56:L56">
    <cfRule type="cellIs" dxfId="0" priority="1" operator="equal">
      <formula>"X"</formula>
    </cfRule>
  </conditionalFormatting>
  <conditionalFormatting sqref="C9:I9 V28 F56:L56">
    <cfRule type="cellIs" dxfId="1" priority="2" operator="equal">
      <formula>"SOC-D"</formula>
    </cfRule>
  </conditionalFormatting>
  <conditionalFormatting sqref="C9:I9 V28 F56:L56">
    <cfRule type="cellIs" dxfId="2" priority="3" operator="equal">
      <formula>"SOC-N"</formula>
    </cfRule>
  </conditionalFormatting>
  <conditionalFormatting sqref="C9:I9 V28 F56:L56">
    <cfRule type="cellIs" dxfId="3" priority="4" operator="equal">
      <formula>"OB"</formula>
    </cfRule>
  </conditionalFormatting>
  <conditionalFormatting sqref="C9:I9 V28 F56:L56">
    <cfRule type="cellIs" dxfId="0" priority="5" operator="equal">
      <formula>"C"</formula>
    </cfRule>
  </conditionalFormatting>
  <conditionalFormatting sqref="C9:I9 V28 F56:L56">
    <cfRule type="cellIs" dxfId="0" priority="6" operator="equal">
      <formula>"AL"</formula>
    </cfRule>
  </conditionalFormatting>
  <conditionalFormatting sqref="C9:I9 V28 F56:L56">
    <cfRule type="cellIs" dxfId="4" priority="7" operator="equal">
      <formula>"UP"</formula>
    </cfRule>
  </conditionalFormatting>
  <conditionalFormatting sqref="C9:I9 V28 F56:L56">
    <cfRule type="cellIs" dxfId="0" priority="8" operator="equal">
      <formula>"S"</formula>
    </cfRule>
  </conditionalFormatting>
  <conditionalFormatting sqref="C9:I9 V28 F56:L56">
    <cfRule type="cellIs" dxfId="5" priority="9" operator="equal">
      <formula>"OC"</formula>
    </cfRule>
  </conditionalFormatting>
  <conditionalFormatting sqref="C9:I9 V28 F56:L56">
    <cfRule type="cellIs" dxfId="6" priority="10" operator="equal">
      <formula>"SPV"</formula>
    </cfRule>
  </conditionalFormatting>
  <conditionalFormatting sqref="C9:I9 V28 F56:L56">
    <cfRule type="cellIs" dxfId="7" priority="11" operator="equal">
      <formula>"INT"</formula>
    </cfRule>
  </conditionalFormatting>
  <conditionalFormatting sqref="C9:I9 V28 F56:L56">
    <cfRule type="cellIs" dxfId="8" priority="12" operator="equal">
      <formula>"T"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0" priority="13" operator="equal">
      <formula>"X"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1" priority="14" operator="equal">
      <formula>"SOC-D"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10" priority="15" operator="equal">
      <formula>"SOC-N"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3" priority="16" operator="equal">
      <formula>"OB"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0" priority="17" operator="equal">
      <formula>"C"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0" priority="18" operator="equal">
      <formula>"AL"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4" priority="19" operator="equal">
      <formula>"UP"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0" priority="20" operator="equal">
      <formula>"S"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5" priority="21" operator="equal">
      <formula>"OC"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6" priority="22" operator="equal">
      <formula>"SPV"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7" priority="23" operator="equal">
      <formula>"INT"</formula>
    </cfRule>
  </conditionalFormatting>
  <conditionalFormatting sqref="C6:AG16 A11:B16 D23:G31 C24:C31 H24:H31 J24:J31 K24 L24:P31 R24:AA31 I25:I28 Q25:Q31 AB25:AG31 K26:K31 I30:I31 D35 L36:Q42 R36:R40 V36:AC39 T37:U39 U41:X42 K42 F53:V57">
    <cfRule type="cellIs" dxfId="8" priority="24" operator="equal">
      <formula>"T"</formula>
    </cfRule>
  </conditionalFormatting>
  <conditionalFormatting sqref="D34">
    <cfRule type="cellIs" dxfId="9" priority="25" operator="equal">
      <formula>"T"</formula>
    </cfRule>
  </conditionalFormatting>
  <conditionalFormatting sqref="AF23">
    <cfRule type="notContainsBlanks" dxfId="11" priority="26">
      <formula>LEN(TRIM(AF23))&gt;0</formula>
    </cfRule>
  </conditionalFormatting>
  <conditionalFormatting sqref="A1:AL998">
    <cfRule type="cellIs" dxfId="12" priority="27" operator="equal">
      <formula>"SD-D"</formula>
    </cfRule>
  </conditionalFormatting>
  <conditionalFormatting sqref="A1:AL998">
    <cfRule type="cellIs" dxfId="13" priority="28" operator="equal">
      <formula>"SD-N"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6.38"/>
    <col customWidth="1" min="2" max="2" width="10.38"/>
    <col customWidth="1" min="3" max="3" width="9.63"/>
    <col customWidth="1" min="4" max="4" width="8.0"/>
    <col customWidth="1" min="5" max="5" width="10.0"/>
    <col customWidth="1" min="6" max="32" width="6.38"/>
    <col customWidth="1" min="33" max="35" width="4.5"/>
    <col customWidth="1" min="36" max="37" width="6.88"/>
    <col customWidth="1" min="38" max="38" width="14.13"/>
  </cols>
  <sheetData>
    <row r="1">
      <c r="C1" s="13" t="s">
        <v>71</v>
      </c>
    </row>
    <row r="3">
      <c r="A3" s="6"/>
      <c r="B3" s="6"/>
    </row>
    <row r="4">
      <c r="A4" s="6"/>
      <c r="B4" s="100" t="s">
        <v>146</v>
      </c>
      <c r="C4" s="10" t="s">
        <v>6</v>
      </c>
      <c r="D4" s="10" t="s">
        <v>7</v>
      </c>
      <c r="E4" s="10" t="s">
        <v>8</v>
      </c>
      <c r="F4" s="10" t="s">
        <v>2</v>
      </c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  <c r="M4" s="10" t="s">
        <v>2</v>
      </c>
      <c r="N4" s="10" t="s">
        <v>3</v>
      </c>
      <c r="O4" s="10" t="s">
        <v>4</v>
      </c>
      <c r="P4" s="10" t="s">
        <v>5</v>
      </c>
      <c r="Q4" s="10" t="s">
        <v>6</v>
      </c>
      <c r="R4" s="10" t="s">
        <v>7</v>
      </c>
      <c r="S4" s="10" t="s">
        <v>8</v>
      </c>
      <c r="T4" s="10" t="s">
        <v>2</v>
      </c>
      <c r="U4" s="42" t="s">
        <v>3</v>
      </c>
      <c r="V4" s="10" t="s">
        <v>4</v>
      </c>
      <c r="W4" s="10" t="s">
        <v>5</v>
      </c>
      <c r="X4" s="10" t="s">
        <v>6</v>
      </c>
      <c r="Y4" s="10" t="s">
        <v>7</v>
      </c>
      <c r="Z4" s="42" t="s">
        <v>8</v>
      </c>
      <c r="AA4" s="42" t="s">
        <v>2</v>
      </c>
      <c r="AB4" s="42" t="s">
        <v>3</v>
      </c>
      <c r="AC4" s="42" t="s">
        <v>4</v>
      </c>
      <c r="AD4" s="42" t="s">
        <v>5</v>
      </c>
      <c r="AE4" s="42" t="s">
        <v>6</v>
      </c>
      <c r="AF4" s="42" t="s">
        <v>7</v>
      </c>
      <c r="AG4" s="42" t="s">
        <v>8</v>
      </c>
      <c r="AH4" s="11"/>
      <c r="AI4" s="11"/>
      <c r="AJ4" s="11"/>
      <c r="AK4" s="11"/>
      <c r="AL4" s="11"/>
    </row>
    <row r="5">
      <c r="A5" s="101"/>
      <c r="B5" s="101" t="s">
        <v>146</v>
      </c>
      <c r="C5" s="109">
        <v>46143.0</v>
      </c>
      <c r="D5" s="109">
        <v>46144.0</v>
      </c>
      <c r="E5" s="109">
        <v>46145.0</v>
      </c>
      <c r="F5" s="109">
        <v>46146.0</v>
      </c>
      <c r="G5" s="109">
        <v>46147.0</v>
      </c>
      <c r="H5" s="109">
        <v>46148.0</v>
      </c>
      <c r="I5" s="109">
        <v>46149.0</v>
      </c>
      <c r="J5" s="109">
        <v>46150.0</v>
      </c>
      <c r="K5" s="109">
        <v>46151.0</v>
      </c>
      <c r="L5" s="109">
        <v>46152.0</v>
      </c>
      <c r="M5" s="109">
        <v>46153.0</v>
      </c>
      <c r="N5" s="109">
        <v>46154.0</v>
      </c>
      <c r="O5" s="109">
        <v>46155.0</v>
      </c>
      <c r="P5" s="109">
        <v>46156.0</v>
      </c>
      <c r="Q5" s="109">
        <v>46157.0</v>
      </c>
      <c r="R5" s="109">
        <v>46158.0</v>
      </c>
      <c r="S5" s="109">
        <v>46159.0</v>
      </c>
      <c r="T5" s="109">
        <v>46160.0</v>
      </c>
      <c r="U5" s="109">
        <v>46161.0</v>
      </c>
      <c r="V5" s="109">
        <v>46162.0</v>
      </c>
      <c r="W5" s="109">
        <v>46163.0</v>
      </c>
      <c r="X5" s="109">
        <v>46164.0</v>
      </c>
      <c r="Y5" s="109">
        <v>46165.0</v>
      </c>
      <c r="Z5" s="109">
        <v>46166.0</v>
      </c>
      <c r="AA5" s="109">
        <v>46167.0</v>
      </c>
      <c r="AB5" s="109">
        <v>46168.0</v>
      </c>
      <c r="AC5" s="109">
        <v>46169.0</v>
      </c>
      <c r="AD5" s="109">
        <v>46170.0</v>
      </c>
      <c r="AE5" s="109">
        <v>46171.0</v>
      </c>
      <c r="AF5" s="109">
        <v>46172.0</v>
      </c>
      <c r="AG5" s="109">
        <v>46173.0</v>
      </c>
      <c r="AH5" s="104" t="s">
        <v>38</v>
      </c>
      <c r="AI5" s="105" t="s">
        <v>39</v>
      </c>
      <c r="AJ5" s="106" t="s">
        <v>40</v>
      </c>
      <c r="AK5" s="107" t="s">
        <v>42</v>
      </c>
      <c r="AL5" s="108" t="s">
        <v>76</v>
      </c>
    </row>
    <row r="6">
      <c r="A6" s="19" t="s">
        <v>45</v>
      </c>
      <c r="B6" s="19" t="s">
        <v>147</v>
      </c>
      <c r="C6" s="71" t="s">
        <v>40</v>
      </c>
      <c r="D6" s="71" t="s">
        <v>148</v>
      </c>
      <c r="E6" s="71" t="s">
        <v>148</v>
      </c>
      <c r="F6" s="71" t="s">
        <v>40</v>
      </c>
      <c r="G6" s="71" t="s">
        <v>40</v>
      </c>
      <c r="H6" s="71" t="s">
        <v>148</v>
      </c>
      <c r="I6" s="71" t="s">
        <v>148</v>
      </c>
      <c r="J6" s="71" t="s">
        <v>40</v>
      </c>
      <c r="K6" s="71" t="s">
        <v>40</v>
      </c>
      <c r="L6" s="71" t="s">
        <v>148</v>
      </c>
      <c r="M6" s="71" t="s">
        <v>148</v>
      </c>
      <c r="N6" s="71" t="s">
        <v>40</v>
      </c>
      <c r="O6" s="71" t="s">
        <v>40</v>
      </c>
      <c r="P6" s="71" t="s">
        <v>149</v>
      </c>
      <c r="Q6" s="71" t="s">
        <v>149</v>
      </c>
      <c r="R6" s="71" t="s">
        <v>40</v>
      </c>
      <c r="S6" s="71" t="s">
        <v>40</v>
      </c>
      <c r="T6" s="71" t="s">
        <v>149</v>
      </c>
      <c r="U6" s="71" t="s">
        <v>149</v>
      </c>
      <c r="V6" s="71" t="s">
        <v>40</v>
      </c>
      <c r="W6" s="71" t="s">
        <v>40</v>
      </c>
      <c r="X6" s="71" t="s">
        <v>149</v>
      </c>
      <c r="Y6" s="71" t="s">
        <v>149</v>
      </c>
      <c r="Z6" s="71" t="s">
        <v>40</v>
      </c>
      <c r="AA6" s="71" t="s">
        <v>40</v>
      </c>
      <c r="AB6" s="71" t="s">
        <v>149</v>
      </c>
      <c r="AC6" s="71" t="s">
        <v>149</v>
      </c>
      <c r="AD6" s="71" t="s">
        <v>40</v>
      </c>
      <c r="AE6" s="71" t="s">
        <v>40</v>
      </c>
      <c r="AF6" s="71" t="s">
        <v>148</v>
      </c>
      <c r="AG6" s="71" t="s">
        <v>148</v>
      </c>
      <c r="AH6" s="49">
        <f t="shared" ref="AH6:AH12" si="1">COUNTIF(C6:AG6,"SOC-D")</f>
        <v>8</v>
      </c>
      <c r="AI6" s="49">
        <f t="shared" ref="AI6:AI12" si="2">COUNTIF(C6:AG6,"SOC-N")</f>
        <v>8</v>
      </c>
      <c r="AJ6" s="49">
        <f t="shared" ref="AJ6:AJ15" si="3">COUNTIF(C6:AG6,"X")</f>
        <v>15</v>
      </c>
      <c r="AK6" s="49">
        <f t="shared" ref="AK6:AK15" si="4">AH6+AI6</f>
        <v>16</v>
      </c>
      <c r="AL6" s="84">
        <f t="shared" ref="AL6:AL12" si="5">(AK6*12)/4.2</f>
        <v>45.71428571</v>
      </c>
    </row>
    <row r="7">
      <c r="A7" s="19" t="s">
        <v>43</v>
      </c>
      <c r="B7" s="19" t="s">
        <v>150</v>
      </c>
      <c r="C7" s="69" t="s">
        <v>63</v>
      </c>
      <c r="D7" s="69" t="s">
        <v>63</v>
      </c>
      <c r="E7" s="69" t="s">
        <v>63</v>
      </c>
      <c r="F7" s="69" t="s">
        <v>63</v>
      </c>
      <c r="G7" s="69" t="s">
        <v>63</v>
      </c>
      <c r="H7" s="69" t="s">
        <v>63</v>
      </c>
      <c r="I7" s="69" t="s">
        <v>63</v>
      </c>
      <c r="J7" s="60" t="s">
        <v>63</v>
      </c>
      <c r="K7" s="60" t="s">
        <v>63</v>
      </c>
      <c r="L7" s="60" t="s">
        <v>63</v>
      </c>
      <c r="M7" s="60" t="s">
        <v>63</v>
      </c>
      <c r="N7" s="61" t="s">
        <v>63</v>
      </c>
      <c r="O7" s="61" t="s">
        <v>63</v>
      </c>
      <c r="P7" s="61" t="s">
        <v>63</v>
      </c>
      <c r="Q7" s="70" t="s">
        <v>63</v>
      </c>
      <c r="R7" s="70" t="s">
        <v>63</v>
      </c>
      <c r="S7" s="70" t="s">
        <v>63</v>
      </c>
      <c r="T7" s="70" t="s">
        <v>63</v>
      </c>
      <c r="U7" s="70" t="s">
        <v>63</v>
      </c>
      <c r="V7" s="70" t="s">
        <v>63</v>
      </c>
      <c r="W7" s="70" t="s">
        <v>63</v>
      </c>
      <c r="X7" s="71" t="s">
        <v>63</v>
      </c>
      <c r="Y7" s="70" t="s">
        <v>63</v>
      </c>
      <c r="Z7" s="71" t="s">
        <v>63</v>
      </c>
      <c r="AA7" s="71" t="s">
        <v>63</v>
      </c>
      <c r="AB7" s="71" t="s">
        <v>63</v>
      </c>
      <c r="AC7" s="71" t="s">
        <v>63</v>
      </c>
      <c r="AD7" s="71" t="s">
        <v>63</v>
      </c>
      <c r="AE7" s="71" t="s">
        <v>63</v>
      </c>
      <c r="AF7" s="71" t="s">
        <v>63</v>
      </c>
      <c r="AG7" s="71" t="s">
        <v>63</v>
      </c>
      <c r="AH7" s="49">
        <f t="shared" si="1"/>
        <v>0</v>
      </c>
      <c r="AI7" s="49">
        <f t="shared" si="2"/>
        <v>0</v>
      </c>
      <c r="AJ7" s="49">
        <f t="shared" si="3"/>
        <v>0</v>
      </c>
      <c r="AK7" s="49">
        <f t="shared" si="4"/>
        <v>0</v>
      </c>
      <c r="AL7" s="84">
        <f t="shared" si="5"/>
        <v>0</v>
      </c>
    </row>
    <row r="8">
      <c r="A8" s="13" t="s">
        <v>84</v>
      </c>
      <c r="B8" s="13" t="s">
        <v>151</v>
      </c>
      <c r="C8" s="69" t="s">
        <v>148</v>
      </c>
      <c r="D8" s="69" t="s">
        <v>40</v>
      </c>
      <c r="E8" s="69" t="s">
        <v>40</v>
      </c>
      <c r="F8" s="69" t="s">
        <v>148</v>
      </c>
      <c r="G8" s="69" t="s">
        <v>148</v>
      </c>
      <c r="H8" s="69" t="s">
        <v>40</v>
      </c>
      <c r="I8" s="69" t="s">
        <v>40</v>
      </c>
      <c r="J8" s="69" t="s">
        <v>148</v>
      </c>
      <c r="K8" s="69" t="s">
        <v>148</v>
      </c>
      <c r="L8" s="69" t="s">
        <v>40</v>
      </c>
      <c r="M8" s="69" t="s">
        <v>40</v>
      </c>
      <c r="N8" s="69" t="s">
        <v>148</v>
      </c>
      <c r="O8" s="69" t="s">
        <v>148</v>
      </c>
      <c r="P8" s="69" t="s">
        <v>40</v>
      </c>
      <c r="Q8" s="60" t="s">
        <v>40</v>
      </c>
      <c r="R8" s="60" t="s">
        <v>149</v>
      </c>
      <c r="S8" s="60" t="s">
        <v>149</v>
      </c>
      <c r="T8" s="60" t="s">
        <v>40</v>
      </c>
      <c r="U8" s="60" t="s">
        <v>40</v>
      </c>
      <c r="V8" s="61" t="s">
        <v>149</v>
      </c>
      <c r="W8" s="61" t="s">
        <v>149</v>
      </c>
      <c r="X8" s="70" t="s">
        <v>40</v>
      </c>
      <c r="Y8" s="1" t="s">
        <v>40</v>
      </c>
      <c r="Z8" s="70" t="s">
        <v>149</v>
      </c>
      <c r="AA8" s="70" t="s">
        <v>149</v>
      </c>
      <c r="AB8" s="70" t="s">
        <v>40</v>
      </c>
      <c r="AC8" s="70" t="s">
        <v>40</v>
      </c>
      <c r="AD8" s="70" t="s">
        <v>149</v>
      </c>
      <c r="AE8" s="70" t="s">
        <v>149</v>
      </c>
      <c r="AF8" s="70" t="s">
        <v>40</v>
      </c>
      <c r="AG8" s="70" t="s">
        <v>40</v>
      </c>
      <c r="AH8" s="49">
        <f t="shared" si="1"/>
        <v>7</v>
      </c>
      <c r="AI8" s="49">
        <f t="shared" si="2"/>
        <v>8</v>
      </c>
      <c r="AJ8" s="49">
        <f t="shared" si="3"/>
        <v>16</v>
      </c>
      <c r="AK8" s="49">
        <f t="shared" si="4"/>
        <v>15</v>
      </c>
      <c r="AL8" s="84">
        <f t="shared" si="5"/>
        <v>42.85714286</v>
      </c>
    </row>
    <row r="9">
      <c r="A9" s="13" t="s">
        <v>48</v>
      </c>
      <c r="B9" s="13" t="s">
        <v>152</v>
      </c>
      <c r="C9" s="60" t="s">
        <v>40</v>
      </c>
      <c r="D9" s="110" t="s">
        <v>149</v>
      </c>
      <c r="E9" s="111" t="s">
        <v>149</v>
      </c>
      <c r="F9" s="60" t="s">
        <v>40</v>
      </c>
      <c r="G9" s="60" t="s">
        <v>40</v>
      </c>
      <c r="H9" s="61" t="s">
        <v>149</v>
      </c>
      <c r="I9" s="61" t="s">
        <v>149</v>
      </c>
      <c r="J9" s="70" t="s">
        <v>40</v>
      </c>
      <c r="K9" s="70" t="s">
        <v>40</v>
      </c>
      <c r="L9" s="70" t="s">
        <v>149</v>
      </c>
      <c r="M9" s="70" t="s">
        <v>149</v>
      </c>
      <c r="N9" s="70" t="s">
        <v>40</v>
      </c>
      <c r="O9" s="70" t="s">
        <v>40</v>
      </c>
      <c r="P9" s="70" t="s">
        <v>148</v>
      </c>
      <c r="Q9" s="70" t="s">
        <v>148</v>
      </c>
      <c r="R9" s="70" t="s">
        <v>40</v>
      </c>
      <c r="S9" s="70" t="s">
        <v>40</v>
      </c>
      <c r="T9" s="70" t="s">
        <v>148</v>
      </c>
      <c r="U9" s="70" t="s">
        <v>148</v>
      </c>
      <c r="V9" s="70" t="s">
        <v>40</v>
      </c>
      <c r="W9" s="70" t="s">
        <v>40</v>
      </c>
      <c r="X9" s="60" t="s">
        <v>148</v>
      </c>
      <c r="Y9" s="60" t="s">
        <v>148</v>
      </c>
      <c r="Z9" s="60" t="s">
        <v>40</v>
      </c>
      <c r="AA9" s="60" t="s">
        <v>40</v>
      </c>
      <c r="AB9" s="60" t="s">
        <v>148</v>
      </c>
      <c r="AC9" s="61" t="s">
        <v>148</v>
      </c>
      <c r="AD9" s="61" t="s">
        <v>40</v>
      </c>
      <c r="AE9" s="61" t="s">
        <v>40</v>
      </c>
      <c r="AF9" s="61" t="s">
        <v>149</v>
      </c>
      <c r="AG9" s="61" t="s">
        <v>149</v>
      </c>
      <c r="AH9" s="49">
        <f t="shared" si="1"/>
        <v>8</v>
      </c>
      <c r="AI9" s="49">
        <f t="shared" si="2"/>
        <v>8</v>
      </c>
      <c r="AJ9" s="49">
        <f t="shared" si="3"/>
        <v>15</v>
      </c>
      <c r="AK9" s="49">
        <f t="shared" si="4"/>
        <v>16</v>
      </c>
      <c r="AL9" s="84">
        <f t="shared" si="5"/>
        <v>45.71428571</v>
      </c>
    </row>
    <row r="10">
      <c r="A10" s="13" t="s">
        <v>138</v>
      </c>
      <c r="B10" s="13" t="s">
        <v>153</v>
      </c>
      <c r="C10" s="69" t="s">
        <v>149</v>
      </c>
      <c r="D10" s="69" t="s">
        <v>40</v>
      </c>
      <c r="E10" s="69" t="s">
        <v>40</v>
      </c>
      <c r="F10" s="69" t="s">
        <v>149</v>
      </c>
      <c r="G10" s="69" t="s">
        <v>149</v>
      </c>
      <c r="H10" s="69" t="s">
        <v>40</v>
      </c>
      <c r="I10" s="69" t="s">
        <v>40</v>
      </c>
      <c r="J10" s="69" t="s">
        <v>149</v>
      </c>
      <c r="K10" s="69" t="s">
        <v>149</v>
      </c>
      <c r="L10" s="69" t="s">
        <v>40</v>
      </c>
      <c r="M10" s="69" t="s">
        <v>40</v>
      </c>
      <c r="N10" s="69" t="s">
        <v>149</v>
      </c>
      <c r="O10" s="69" t="s">
        <v>149</v>
      </c>
      <c r="P10" s="69" t="s">
        <v>40</v>
      </c>
      <c r="Q10" s="69" t="s">
        <v>40</v>
      </c>
      <c r="R10" s="69" t="s">
        <v>148</v>
      </c>
      <c r="S10" s="69" t="s">
        <v>148</v>
      </c>
      <c r="T10" s="69" t="s">
        <v>40</v>
      </c>
      <c r="U10" s="69" t="s">
        <v>40</v>
      </c>
      <c r="V10" s="69" t="s">
        <v>148</v>
      </c>
      <c r="W10" s="69" t="s">
        <v>148</v>
      </c>
      <c r="X10" s="70" t="s">
        <v>40</v>
      </c>
      <c r="Y10" s="70" t="s">
        <v>40</v>
      </c>
      <c r="Z10" s="70" t="s">
        <v>148</v>
      </c>
      <c r="AA10" s="70" t="s">
        <v>148</v>
      </c>
      <c r="AB10" s="70" t="s">
        <v>40</v>
      </c>
      <c r="AC10" s="70" t="s">
        <v>40</v>
      </c>
      <c r="AD10" s="70" t="s">
        <v>148</v>
      </c>
      <c r="AE10" s="70" t="s">
        <v>148</v>
      </c>
      <c r="AF10" s="70" t="s">
        <v>40</v>
      </c>
      <c r="AG10" s="70" t="s">
        <v>40</v>
      </c>
      <c r="AH10" s="49">
        <f t="shared" si="1"/>
        <v>8</v>
      </c>
      <c r="AI10" s="49">
        <f t="shared" si="2"/>
        <v>7</v>
      </c>
      <c r="AJ10" s="49">
        <f t="shared" si="3"/>
        <v>16</v>
      </c>
      <c r="AK10" s="49">
        <f t="shared" si="4"/>
        <v>15</v>
      </c>
      <c r="AL10" s="84">
        <f t="shared" si="5"/>
        <v>42.85714286</v>
      </c>
    </row>
    <row r="11">
      <c r="A11" s="88" t="s">
        <v>47</v>
      </c>
      <c r="B11" s="88" t="s">
        <v>154</v>
      </c>
      <c r="C11" s="69" t="s">
        <v>41</v>
      </c>
      <c r="D11" s="69" t="s">
        <v>40</v>
      </c>
      <c r="E11" s="69" t="s">
        <v>40</v>
      </c>
      <c r="F11" s="69" t="s">
        <v>41</v>
      </c>
      <c r="G11" s="69" t="s">
        <v>41</v>
      </c>
      <c r="H11" s="69" t="s">
        <v>41</v>
      </c>
      <c r="I11" s="69" t="s">
        <v>41</v>
      </c>
      <c r="J11" s="69" t="s">
        <v>41</v>
      </c>
      <c r="K11" s="69" t="s">
        <v>40</v>
      </c>
      <c r="L11" s="69" t="s">
        <v>40</v>
      </c>
      <c r="M11" s="69" t="s">
        <v>41</v>
      </c>
      <c r="N11" s="69" t="s">
        <v>41</v>
      </c>
      <c r="O11" s="69" t="s">
        <v>41</v>
      </c>
      <c r="P11" s="69" t="s">
        <v>41</v>
      </c>
      <c r="Q11" s="69" t="s">
        <v>41</v>
      </c>
      <c r="R11" s="69" t="s">
        <v>40</v>
      </c>
      <c r="S11" s="69" t="s">
        <v>40</v>
      </c>
      <c r="T11" s="69" t="s">
        <v>41</v>
      </c>
      <c r="U11" s="69" t="s">
        <v>41</v>
      </c>
      <c r="V11" s="69" t="s">
        <v>41</v>
      </c>
      <c r="W11" s="69" t="s">
        <v>41</v>
      </c>
      <c r="X11" s="70" t="s">
        <v>41</v>
      </c>
      <c r="Y11" s="70" t="s">
        <v>40</v>
      </c>
      <c r="Z11" s="70" t="s">
        <v>40</v>
      </c>
      <c r="AA11" s="70" t="s">
        <v>41</v>
      </c>
      <c r="AB11" s="70" t="s">
        <v>41</v>
      </c>
      <c r="AC11" s="70" t="s">
        <v>41</v>
      </c>
      <c r="AD11" s="70" t="s">
        <v>41</v>
      </c>
      <c r="AE11" s="70" t="s">
        <v>41</v>
      </c>
      <c r="AF11" s="70" t="s">
        <v>40</v>
      </c>
      <c r="AG11" s="70" t="s">
        <v>40</v>
      </c>
      <c r="AH11" s="49">
        <f t="shared" si="1"/>
        <v>0</v>
      </c>
      <c r="AI11" s="49">
        <f t="shared" si="2"/>
        <v>0</v>
      </c>
      <c r="AJ11" s="49">
        <f t="shared" si="3"/>
        <v>10</v>
      </c>
      <c r="AK11" s="49">
        <f t="shared" si="4"/>
        <v>0</v>
      </c>
      <c r="AL11" s="84">
        <f t="shared" si="5"/>
        <v>0</v>
      </c>
    </row>
    <row r="12">
      <c r="A12" s="88" t="s">
        <v>155</v>
      </c>
      <c r="B12" s="13" t="s">
        <v>156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49">
        <f t="shared" si="1"/>
        <v>0</v>
      </c>
      <c r="AI12" s="49">
        <f t="shared" si="2"/>
        <v>0</v>
      </c>
      <c r="AJ12" s="49">
        <f t="shared" si="3"/>
        <v>0</v>
      </c>
      <c r="AK12" s="49">
        <f t="shared" si="4"/>
        <v>0</v>
      </c>
      <c r="AL12" s="84">
        <f t="shared" si="5"/>
        <v>0</v>
      </c>
    </row>
    <row r="13">
      <c r="A13" s="13" t="s">
        <v>104</v>
      </c>
      <c r="B13" s="13" t="s">
        <v>157</v>
      </c>
      <c r="C13" s="69" t="s">
        <v>0</v>
      </c>
      <c r="D13" s="69" t="s">
        <v>40</v>
      </c>
      <c r="E13" s="69" t="s">
        <v>40</v>
      </c>
      <c r="F13" s="69" t="s">
        <v>158</v>
      </c>
      <c r="G13" s="69" t="s">
        <v>158</v>
      </c>
      <c r="H13" s="69" t="s">
        <v>158</v>
      </c>
      <c r="I13" s="69" t="s">
        <v>158</v>
      </c>
      <c r="J13" s="69" t="s">
        <v>158</v>
      </c>
      <c r="K13" s="69" t="s">
        <v>40</v>
      </c>
      <c r="L13" s="69" t="s">
        <v>40</v>
      </c>
      <c r="M13" s="69" t="s">
        <v>159</v>
      </c>
      <c r="N13" s="69" t="s">
        <v>159</v>
      </c>
      <c r="O13" s="69" t="s">
        <v>159</v>
      </c>
      <c r="P13" s="69" t="s">
        <v>159</v>
      </c>
      <c r="Q13" s="69" t="s">
        <v>159</v>
      </c>
      <c r="R13" s="69" t="s">
        <v>40</v>
      </c>
      <c r="S13" s="69" t="s">
        <v>40</v>
      </c>
      <c r="T13" s="69" t="s">
        <v>159</v>
      </c>
      <c r="U13" s="69" t="s">
        <v>159</v>
      </c>
      <c r="V13" s="69" t="s">
        <v>159</v>
      </c>
      <c r="W13" s="69" t="s">
        <v>159</v>
      </c>
      <c r="X13" s="69" t="s">
        <v>159</v>
      </c>
      <c r="Y13" s="69" t="s">
        <v>40</v>
      </c>
      <c r="Z13" s="69" t="s">
        <v>40</v>
      </c>
      <c r="AA13" s="69" t="s">
        <v>158</v>
      </c>
      <c r="AB13" s="69" t="s">
        <v>158</v>
      </c>
      <c r="AC13" s="69" t="s">
        <v>158</v>
      </c>
      <c r="AD13" s="69" t="s">
        <v>158</v>
      </c>
      <c r="AE13" s="69" t="s">
        <v>158</v>
      </c>
      <c r="AF13" s="69" t="s">
        <v>40</v>
      </c>
      <c r="AG13" s="69" t="s">
        <v>40</v>
      </c>
      <c r="AH13" s="49">
        <f t="shared" ref="AH13:AH15" si="6">COUNTIF(C13:AG13,"SD-D")</f>
        <v>10</v>
      </c>
      <c r="AI13" s="49">
        <f t="shared" ref="AI13:AI15" si="7">COUNTIF(C13:AG13,"SD-N")</f>
        <v>10</v>
      </c>
      <c r="AJ13" s="49">
        <f t="shared" si="3"/>
        <v>10</v>
      </c>
      <c r="AK13" s="49">
        <f t="shared" si="4"/>
        <v>20</v>
      </c>
      <c r="AL13" s="84">
        <f t="shared" ref="AL13:AL15" si="8">(AK13*10)/4</f>
        <v>50</v>
      </c>
    </row>
    <row r="14">
      <c r="A14" s="13" t="s">
        <v>121</v>
      </c>
      <c r="B14" s="13" t="s">
        <v>160</v>
      </c>
      <c r="C14" s="69" t="s">
        <v>159</v>
      </c>
      <c r="D14" s="69" t="s">
        <v>40</v>
      </c>
      <c r="E14" s="69" t="s">
        <v>40</v>
      </c>
      <c r="F14" s="69" t="s">
        <v>159</v>
      </c>
      <c r="G14" s="69" t="s">
        <v>159</v>
      </c>
      <c r="H14" s="69" t="s">
        <v>159</v>
      </c>
      <c r="I14" s="69" t="s">
        <v>159</v>
      </c>
      <c r="J14" s="69" t="s">
        <v>159</v>
      </c>
      <c r="K14" s="69" t="s">
        <v>40</v>
      </c>
      <c r="L14" s="69" t="s">
        <v>40</v>
      </c>
      <c r="M14" s="69" t="s">
        <v>158</v>
      </c>
      <c r="N14" s="69" t="s">
        <v>158</v>
      </c>
      <c r="O14" s="69" t="s">
        <v>158</v>
      </c>
      <c r="P14" s="69" t="s">
        <v>158</v>
      </c>
      <c r="Q14" s="69" t="s">
        <v>158</v>
      </c>
      <c r="R14" s="69" t="s">
        <v>40</v>
      </c>
      <c r="S14" s="69" t="s">
        <v>40</v>
      </c>
      <c r="T14" s="69" t="s">
        <v>158</v>
      </c>
      <c r="U14" s="69" t="s">
        <v>158</v>
      </c>
      <c r="V14" s="69" t="s">
        <v>158</v>
      </c>
      <c r="W14" s="69" t="s">
        <v>158</v>
      </c>
      <c r="X14" s="69" t="s">
        <v>158</v>
      </c>
      <c r="Y14" s="69" t="s">
        <v>40</v>
      </c>
      <c r="Z14" s="69" t="s">
        <v>40</v>
      </c>
      <c r="AA14" s="69" t="s">
        <v>159</v>
      </c>
      <c r="AB14" s="69" t="s">
        <v>159</v>
      </c>
      <c r="AC14" s="69" t="s">
        <v>159</v>
      </c>
      <c r="AD14" s="69" t="s">
        <v>159</v>
      </c>
      <c r="AE14" s="69" t="s">
        <v>159</v>
      </c>
      <c r="AF14" s="69" t="s">
        <v>40</v>
      </c>
      <c r="AG14" s="69" t="s">
        <v>40</v>
      </c>
      <c r="AH14" s="49">
        <f t="shared" si="6"/>
        <v>10</v>
      </c>
      <c r="AI14" s="49">
        <f t="shared" si="7"/>
        <v>11</v>
      </c>
      <c r="AJ14" s="49">
        <f t="shared" si="3"/>
        <v>10</v>
      </c>
      <c r="AK14" s="49">
        <f t="shared" si="4"/>
        <v>21</v>
      </c>
      <c r="AL14" s="84">
        <f t="shared" si="8"/>
        <v>52.5</v>
      </c>
    </row>
    <row r="15">
      <c r="A15" s="13" t="s">
        <v>165</v>
      </c>
      <c r="B15" s="13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49">
        <f t="shared" si="6"/>
        <v>0</v>
      </c>
      <c r="AI15" s="49">
        <f t="shared" si="7"/>
        <v>0</v>
      </c>
      <c r="AJ15" s="49">
        <f t="shared" si="3"/>
        <v>0</v>
      </c>
      <c r="AK15" s="49">
        <f t="shared" si="4"/>
        <v>0</v>
      </c>
      <c r="AL15" s="84">
        <f t="shared" si="8"/>
        <v>0</v>
      </c>
    </row>
    <row r="16">
      <c r="A16" s="88"/>
      <c r="B16" s="88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49"/>
      <c r="AI16" s="49"/>
      <c r="AJ16" s="49"/>
      <c r="AK16" s="49"/>
      <c r="AL16" s="84"/>
    </row>
    <row r="17">
      <c r="A17" s="23" t="s">
        <v>161</v>
      </c>
      <c r="B17" s="23"/>
      <c r="C17" s="24">
        <f t="shared" ref="C17:AG17" si="9">COUNTIF(C6:C11,"SOC-D")</f>
        <v>1</v>
      </c>
      <c r="D17" s="24">
        <f t="shared" si="9"/>
        <v>1</v>
      </c>
      <c r="E17" s="24">
        <f t="shared" si="9"/>
        <v>1</v>
      </c>
      <c r="F17" s="24">
        <f t="shared" si="9"/>
        <v>1</v>
      </c>
      <c r="G17" s="24">
        <f t="shared" si="9"/>
        <v>1</v>
      </c>
      <c r="H17" s="24">
        <f t="shared" si="9"/>
        <v>1</v>
      </c>
      <c r="I17" s="24">
        <f t="shared" si="9"/>
        <v>1</v>
      </c>
      <c r="J17" s="24">
        <f t="shared" si="9"/>
        <v>1</v>
      </c>
      <c r="K17" s="24">
        <f t="shared" si="9"/>
        <v>1</v>
      </c>
      <c r="L17" s="24">
        <f t="shared" si="9"/>
        <v>1</v>
      </c>
      <c r="M17" s="24">
        <f t="shared" si="9"/>
        <v>1</v>
      </c>
      <c r="N17" s="24">
        <f t="shared" si="9"/>
        <v>1</v>
      </c>
      <c r="O17" s="24">
        <f t="shared" si="9"/>
        <v>1</v>
      </c>
      <c r="P17" s="24">
        <f t="shared" si="9"/>
        <v>1</v>
      </c>
      <c r="Q17" s="24">
        <f t="shared" si="9"/>
        <v>1</v>
      </c>
      <c r="R17" s="24">
        <f t="shared" si="9"/>
        <v>1</v>
      </c>
      <c r="S17" s="24">
        <f t="shared" si="9"/>
        <v>1</v>
      </c>
      <c r="T17" s="24">
        <f t="shared" si="9"/>
        <v>1</v>
      </c>
      <c r="U17" s="24">
        <f t="shared" si="9"/>
        <v>1</v>
      </c>
      <c r="V17" s="24">
        <f t="shared" si="9"/>
        <v>1</v>
      </c>
      <c r="W17" s="24">
        <f t="shared" si="9"/>
        <v>1</v>
      </c>
      <c r="X17" s="24">
        <f t="shared" si="9"/>
        <v>1</v>
      </c>
      <c r="Y17" s="24">
        <f t="shared" si="9"/>
        <v>1</v>
      </c>
      <c r="Z17" s="24">
        <f t="shared" si="9"/>
        <v>1</v>
      </c>
      <c r="AA17" s="24">
        <f t="shared" si="9"/>
        <v>1</v>
      </c>
      <c r="AB17" s="24">
        <f t="shared" si="9"/>
        <v>1</v>
      </c>
      <c r="AC17" s="24">
        <f t="shared" si="9"/>
        <v>1</v>
      </c>
      <c r="AD17" s="24">
        <f t="shared" si="9"/>
        <v>1</v>
      </c>
      <c r="AE17" s="24">
        <f t="shared" si="9"/>
        <v>1</v>
      </c>
      <c r="AF17" s="24">
        <f t="shared" si="9"/>
        <v>1</v>
      </c>
      <c r="AG17" s="24">
        <f t="shared" si="9"/>
        <v>1</v>
      </c>
      <c r="AK17" s="49"/>
    </row>
    <row r="18">
      <c r="A18" s="26" t="s">
        <v>162</v>
      </c>
      <c r="B18" s="26"/>
      <c r="C18" s="27">
        <f t="shared" ref="C18:AG18" si="10">COUNTIF(C6:C11,"SOC-N")</f>
        <v>1</v>
      </c>
      <c r="D18" s="27">
        <f t="shared" si="10"/>
        <v>1</v>
      </c>
      <c r="E18" s="27">
        <f t="shared" si="10"/>
        <v>1</v>
      </c>
      <c r="F18" s="27">
        <f t="shared" si="10"/>
        <v>1</v>
      </c>
      <c r="G18" s="27">
        <f t="shared" si="10"/>
        <v>1</v>
      </c>
      <c r="H18" s="27">
        <f t="shared" si="10"/>
        <v>1</v>
      </c>
      <c r="I18" s="27">
        <f t="shared" si="10"/>
        <v>1</v>
      </c>
      <c r="J18" s="27">
        <f t="shared" si="10"/>
        <v>1</v>
      </c>
      <c r="K18" s="27">
        <f t="shared" si="10"/>
        <v>1</v>
      </c>
      <c r="L18" s="27">
        <f t="shared" si="10"/>
        <v>1</v>
      </c>
      <c r="M18" s="27">
        <f t="shared" si="10"/>
        <v>1</v>
      </c>
      <c r="N18" s="27">
        <f t="shared" si="10"/>
        <v>1</v>
      </c>
      <c r="O18" s="27">
        <f t="shared" si="10"/>
        <v>1</v>
      </c>
      <c r="P18" s="27">
        <f t="shared" si="10"/>
        <v>1</v>
      </c>
      <c r="Q18" s="27">
        <f t="shared" si="10"/>
        <v>1</v>
      </c>
      <c r="R18" s="27">
        <f t="shared" si="10"/>
        <v>1</v>
      </c>
      <c r="S18" s="27">
        <f t="shared" si="10"/>
        <v>1</v>
      </c>
      <c r="T18" s="27">
        <f t="shared" si="10"/>
        <v>1</v>
      </c>
      <c r="U18" s="27">
        <f t="shared" si="10"/>
        <v>1</v>
      </c>
      <c r="V18" s="27">
        <f t="shared" si="10"/>
        <v>1</v>
      </c>
      <c r="W18" s="27">
        <f t="shared" si="10"/>
        <v>1</v>
      </c>
      <c r="X18" s="27">
        <f t="shared" si="10"/>
        <v>1</v>
      </c>
      <c r="Y18" s="27">
        <f t="shared" si="10"/>
        <v>1</v>
      </c>
      <c r="Z18" s="27">
        <f t="shared" si="10"/>
        <v>1</v>
      </c>
      <c r="AA18" s="27">
        <f t="shared" si="10"/>
        <v>1</v>
      </c>
      <c r="AB18" s="27">
        <f t="shared" si="10"/>
        <v>1</v>
      </c>
      <c r="AC18" s="27">
        <f t="shared" si="10"/>
        <v>1</v>
      </c>
      <c r="AD18" s="27">
        <f t="shared" si="10"/>
        <v>1</v>
      </c>
      <c r="AE18" s="27">
        <f t="shared" si="10"/>
        <v>1</v>
      </c>
      <c r="AF18" s="27">
        <f t="shared" si="10"/>
        <v>1</v>
      </c>
      <c r="AG18" s="27">
        <f t="shared" si="10"/>
        <v>1</v>
      </c>
    </row>
    <row r="19">
      <c r="C19" s="85" t="s">
        <v>120</v>
      </c>
      <c r="AH19" s="44" t="s">
        <v>38</v>
      </c>
      <c r="AI19" s="45" t="s">
        <v>39</v>
      </c>
      <c r="AJ19" s="46" t="s">
        <v>40</v>
      </c>
      <c r="AK19" s="48" t="s">
        <v>42</v>
      </c>
      <c r="AL19" s="54" t="s">
        <v>76</v>
      </c>
    </row>
    <row r="20">
      <c r="A20" s="23" t="s">
        <v>163</v>
      </c>
      <c r="B20" s="23"/>
      <c r="C20" s="24">
        <f t="shared" ref="C20:AG20" si="11">COUNTIF(C13:C15,"SD-D")</f>
        <v>0</v>
      </c>
      <c r="D20" s="24">
        <f t="shared" si="11"/>
        <v>0</v>
      </c>
      <c r="E20" s="24">
        <f t="shared" si="11"/>
        <v>0</v>
      </c>
      <c r="F20" s="24">
        <f t="shared" si="11"/>
        <v>1</v>
      </c>
      <c r="G20" s="24">
        <f t="shared" si="11"/>
        <v>1</v>
      </c>
      <c r="H20" s="24">
        <f t="shared" si="11"/>
        <v>1</v>
      </c>
      <c r="I20" s="24">
        <f t="shared" si="11"/>
        <v>1</v>
      </c>
      <c r="J20" s="24">
        <f t="shared" si="11"/>
        <v>1</v>
      </c>
      <c r="K20" s="24">
        <f t="shared" si="11"/>
        <v>0</v>
      </c>
      <c r="L20" s="24">
        <f t="shared" si="11"/>
        <v>0</v>
      </c>
      <c r="M20" s="24">
        <f t="shared" si="11"/>
        <v>1</v>
      </c>
      <c r="N20" s="24">
        <f t="shared" si="11"/>
        <v>1</v>
      </c>
      <c r="O20" s="24">
        <f t="shared" si="11"/>
        <v>1</v>
      </c>
      <c r="P20" s="24">
        <f t="shared" si="11"/>
        <v>1</v>
      </c>
      <c r="Q20" s="24">
        <f t="shared" si="11"/>
        <v>1</v>
      </c>
      <c r="R20" s="24">
        <f t="shared" si="11"/>
        <v>0</v>
      </c>
      <c r="S20" s="24">
        <f t="shared" si="11"/>
        <v>0</v>
      </c>
      <c r="T20" s="24">
        <f t="shared" si="11"/>
        <v>1</v>
      </c>
      <c r="U20" s="24">
        <f t="shared" si="11"/>
        <v>1</v>
      </c>
      <c r="V20" s="24">
        <f t="shared" si="11"/>
        <v>1</v>
      </c>
      <c r="W20" s="24">
        <f t="shared" si="11"/>
        <v>1</v>
      </c>
      <c r="X20" s="24">
        <f t="shared" si="11"/>
        <v>1</v>
      </c>
      <c r="Y20" s="24">
        <f t="shared" si="11"/>
        <v>0</v>
      </c>
      <c r="Z20" s="24">
        <f t="shared" si="11"/>
        <v>0</v>
      </c>
      <c r="AA20" s="24">
        <f t="shared" si="11"/>
        <v>1</v>
      </c>
      <c r="AB20" s="24">
        <f t="shared" si="11"/>
        <v>1</v>
      </c>
      <c r="AC20" s="24">
        <f t="shared" si="11"/>
        <v>1</v>
      </c>
      <c r="AD20" s="24">
        <f t="shared" si="11"/>
        <v>1</v>
      </c>
      <c r="AE20" s="24">
        <f t="shared" si="11"/>
        <v>1</v>
      </c>
      <c r="AF20" s="24">
        <f t="shared" si="11"/>
        <v>0</v>
      </c>
      <c r="AG20" s="24">
        <f t="shared" si="11"/>
        <v>0</v>
      </c>
      <c r="AH20" s="53"/>
      <c r="AI20" s="53"/>
      <c r="AJ20" s="53"/>
      <c r="AK20" s="53"/>
      <c r="AL20" s="53"/>
    </row>
    <row r="21">
      <c r="A21" s="26" t="s">
        <v>164</v>
      </c>
      <c r="B21" s="26"/>
      <c r="C21" s="27">
        <f t="shared" ref="C21:AG21" si="12">COUNTIF(C13:C15,"SD-N")</f>
        <v>1</v>
      </c>
      <c r="D21" s="27">
        <f t="shared" si="12"/>
        <v>0</v>
      </c>
      <c r="E21" s="27">
        <f t="shared" si="12"/>
        <v>0</v>
      </c>
      <c r="F21" s="27">
        <f t="shared" si="12"/>
        <v>1</v>
      </c>
      <c r="G21" s="27">
        <f t="shared" si="12"/>
        <v>1</v>
      </c>
      <c r="H21" s="27">
        <f t="shared" si="12"/>
        <v>1</v>
      </c>
      <c r="I21" s="27">
        <f t="shared" si="12"/>
        <v>1</v>
      </c>
      <c r="J21" s="27">
        <f t="shared" si="12"/>
        <v>1</v>
      </c>
      <c r="K21" s="27">
        <f t="shared" si="12"/>
        <v>0</v>
      </c>
      <c r="L21" s="27">
        <f t="shared" si="12"/>
        <v>0</v>
      </c>
      <c r="M21" s="27">
        <f t="shared" si="12"/>
        <v>1</v>
      </c>
      <c r="N21" s="27">
        <f t="shared" si="12"/>
        <v>1</v>
      </c>
      <c r="O21" s="27">
        <f t="shared" si="12"/>
        <v>1</v>
      </c>
      <c r="P21" s="27">
        <f t="shared" si="12"/>
        <v>1</v>
      </c>
      <c r="Q21" s="27">
        <f t="shared" si="12"/>
        <v>1</v>
      </c>
      <c r="R21" s="27">
        <f t="shared" si="12"/>
        <v>0</v>
      </c>
      <c r="S21" s="27">
        <f t="shared" si="12"/>
        <v>0</v>
      </c>
      <c r="T21" s="27">
        <f t="shared" si="12"/>
        <v>1</v>
      </c>
      <c r="U21" s="27">
        <f t="shared" si="12"/>
        <v>1</v>
      </c>
      <c r="V21" s="27">
        <f t="shared" si="12"/>
        <v>1</v>
      </c>
      <c r="W21" s="27">
        <f t="shared" si="12"/>
        <v>1</v>
      </c>
      <c r="X21" s="27">
        <f t="shared" si="12"/>
        <v>1</v>
      </c>
      <c r="Y21" s="27">
        <f t="shared" si="12"/>
        <v>0</v>
      </c>
      <c r="Z21" s="27">
        <f t="shared" si="12"/>
        <v>0</v>
      </c>
      <c r="AA21" s="27">
        <f t="shared" si="12"/>
        <v>1</v>
      </c>
      <c r="AB21" s="27">
        <f t="shared" si="12"/>
        <v>1</v>
      </c>
      <c r="AC21" s="27">
        <f t="shared" si="12"/>
        <v>1</v>
      </c>
      <c r="AD21" s="27">
        <f t="shared" si="12"/>
        <v>1</v>
      </c>
      <c r="AE21" s="27">
        <f t="shared" si="12"/>
        <v>1</v>
      </c>
      <c r="AF21" s="27">
        <f t="shared" si="12"/>
        <v>0</v>
      </c>
      <c r="AG21" s="27">
        <f t="shared" si="12"/>
        <v>0</v>
      </c>
      <c r="AH21" s="22"/>
      <c r="AI21" s="22"/>
      <c r="AJ21" s="22"/>
      <c r="AK21" s="22"/>
      <c r="AL21" s="22"/>
    </row>
    <row r="22">
      <c r="J22" s="28"/>
      <c r="K22" s="11"/>
      <c r="L22" s="68"/>
      <c r="M22" s="68"/>
      <c r="N22" s="68"/>
      <c r="O22" s="68"/>
      <c r="P22" s="68"/>
      <c r="Q22" s="68"/>
      <c r="R22" s="68"/>
      <c r="S22" s="11"/>
      <c r="T22" s="11"/>
      <c r="U22" s="11"/>
      <c r="V22" s="11"/>
      <c r="W22" s="43" t="s">
        <v>0</v>
      </c>
      <c r="X22" s="11"/>
      <c r="AH22" s="22"/>
      <c r="AI22" s="22"/>
      <c r="AJ22" s="22"/>
      <c r="AK22" s="22"/>
      <c r="AL22" s="22"/>
    </row>
    <row r="23">
      <c r="D23" s="29" t="s">
        <v>51</v>
      </c>
      <c r="E23" s="30"/>
      <c r="F23" s="30"/>
      <c r="G23" s="31"/>
      <c r="AI23" s="112" t="s">
        <v>166</v>
      </c>
      <c r="AJ23" s="113"/>
      <c r="AK23" s="113"/>
      <c r="AL23" s="113"/>
    </row>
    <row r="24">
      <c r="A24" s="6"/>
      <c r="B24" s="6"/>
      <c r="C24" s="86"/>
      <c r="D24" s="33" t="s">
        <v>38</v>
      </c>
      <c r="E24" s="1" t="s">
        <v>52</v>
      </c>
      <c r="G24" s="34"/>
      <c r="H24" s="86"/>
      <c r="I24" s="13"/>
      <c r="P24" s="71"/>
      <c r="Q24" s="19"/>
      <c r="V24" s="71"/>
      <c r="W24" s="71"/>
      <c r="X24" s="71"/>
      <c r="Y24" s="71"/>
      <c r="Z24" s="71"/>
      <c r="AA24" s="71"/>
    </row>
    <row r="25">
      <c r="A25" s="6"/>
      <c r="B25" s="6"/>
      <c r="C25" s="87"/>
      <c r="D25" s="33" t="s">
        <v>39</v>
      </c>
      <c r="E25" s="1" t="s">
        <v>53</v>
      </c>
      <c r="G25" s="34"/>
      <c r="H25" s="87"/>
      <c r="K25" s="13"/>
      <c r="P25" s="70"/>
      <c r="Q25" s="13"/>
      <c r="V25" s="70"/>
      <c r="W25" s="70"/>
      <c r="X25" s="70"/>
      <c r="Y25" s="70"/>
      <c r="Z25" s="70"/>
      <c r="AA25" s="70"/>
      <c r="AE25" s="86"/>
      <c r="AF25" s="86"/>
      <c r="AG25" s="86"/>
      <c r="AH25" s="94"/>
      <c r="AI25" s="94"/>
      <c r="AJ25" s="94"/>
      <c r="AK25" s="94"/>
      <c r="AL25" s="94"/>
    </row>
    <row r="26">
      <c r="A26" s="12"/>
      <c r="B26" s="12"/>
      <c r="C26" s="71"/>
      <c r="D26" s="33" t="s">
        <v>41</v>
      </c>
      <c r="E26" s="1" t="s">
        <v>54</v>
      </c>
      <c r="G26" s="34"/>
      <c r="H26" s="71"/>
      <c r="I26" s="19"/>
      <c r="P26" s="61"/>
      <c r="Q26" s="13"/>
      <c r="V26" s="60"/>
      <c r="W26" s="60"/>
      <c r="X26" s="60"/>
      <c r="Y26" s="60"/>
      <c r="Z26" s="61"/>
      <c r="AA26" s="61"/>
      <c r="AE26" s="87"/>
      <c r="AF26" s="87"/>
      <c r="AG26" s="87"/>
      <c r="AH26" s="87"/>
      <c r="AI26" s="87"/>
      <c r="AJ26" s="87"/>
      <c r="AK26" s="87"/>
      <c r="AL26" s="87"/>
    </row>
    <row r="27">
      <c r="C27" s="70"/>
      <c r="D27" s="33" t="s">
        <v>55</v>
      </c>
      <c r="E27" s="1" t="s">
        <v>56</v>
      </c>
      <c r="G27" s="34"/>
      <c r="H27" s="71"/>
      <c r="I27" s="13"/>
      <c r="P27" s="70"/>
      <c r="Q27" s="13"/>
      <c r="V27" s="70"/>
      <c r="W27" s="88"/>
      <c r="X27" s="88"/>
      <c r="Y27" s="70"/>
      <c r="Z27" s="70"/>
      <c r="AA27" s="70"/>
      <c r="AE27" s="71"/>
      <c r="AF27" s="71"/>
      <c r="AG27" s="71"/>
      <c r="AH27" s="95"/>
      <c r="AI27" s="95"/>
      <c r="AJ27" s="95"/>
      <c r="AK27" s="95"/>
      <c r="AL27" s="96"/>
    </row>
    <row r="28">
      <c r="A28" s="97"/>
      <c r="B28" s="97"/>
      <c r="C28" s="68"/>
      <c r="D28" s="33" t="s">
        <v>40</v>
      </c>
      <c r="E28" s="1" t="s">
        <v>57</v>
      </c>
      <c r="G28" s="34"/>
      <c r="H28" s="70"/>
      <c r="I28" s="13"/>
      <c r="P28" s="70"/>
      <c r="Q28" s="13"/>
      <c r="V28" s="20"/>
      <c r="W28" s="13"/>
      <c r="AE28" s="71"/>
      <c r="AF28" s="71"/>
      <c r="AG28" s="71"/>
      <c r="AH28" s="98"/>
      <c r="AI28" s="98"/>
      <c r="AJ28" s="98"/>
      <c r="AK28" s="98"/>
      <c r="AL28" s="99"/>
    </row>
    <row r="29">
      <c r="A29" s="97"/>
      <c r="B29" s="97"/>
      <c r="C29" s="60"/>
      <c r="D29" s="33" t="s">
        <v>58</v>
      </c>
      <c r="E29" s="1" t="s">
        <v>59</v>
      </c>
      <c r="G29" s="34"/>
      <c r="H29" s="61"/>
      <c r="I29" s="13"/>
      <c r="P29" s="25"/>
      <c r="V29" s="20"/>
      <c r="W29" s="89"/>
      <c r="X29" s="89"/>
      <c r="Y29" s="89"/>
      <c r="Z29" s="89"/>
      <c r="AA29" s="89"/>
      <c r="AB29" s="89"/>
      <c r="AC29" s="89"/>
      <c r="AD29" s="89"/>
      <c r="AE29" s="70"/>
      <c r="AF29" s="70"/>
      <c r="AG29" s="70"/>
      <c r="AH29" s="98"/>
      <c r="AI29" s="98"/>
      <c r="AJ29" s="98"/>
      <c r="AK29" s="98"/>
      <c r="AL29" s="99"/>
    </row>
    <row r="30">
      <c r="A30" s="87"/>
      <c r="B30" s="87"/>
      <c r="C30" s="70"/>
      <c r="D30" s="33" t="s">
        <v>60</v>
      </c>
      <c r="E30" s="1" t="s">
        <v>61</v>
      </c>
      <c r="G30" s="34"/>
      <c r="H30" s="70"/>
      <c r="I30" s="55"/>
      <c r="P30" s="25"/>
      <c r="V30" s="20"/>
      <c r="W30" s="89"/>
      <c r="X30" s="89"/>
      <c r="Y30" s="89"/>
      <c r="Z30" s="89"/>
      <c r="AA30" s="89"/>
      <c r="AB30" s="89"/>
      <c r="AC30" s="89"/>
      <c r="AD30" s="89"/>
      <c r="AE30" s="61"/>
      <c r="AF30" s="61"/>
      <c r="AG30" s="61"/>
      <c r="AH30" s="98"/>
      <c r="AI30" s="98"/>
      <c r="AJ30" s="98"/>
      <c r="AK30" s="98"/>
      <c r="AL30" s="99"/>
    </row>
    <row r="31">
      <c r="A31" s="87"/>
      <c r="B31" s="87"/>
      <c r="C31" s="70"/>
      <c r="D31" s="33" t="s">
        <v>44</v>
      </c>
      <c r="E31" s="1" t="s">
        <v>62</v>
      </c>
      <c r="G31" s="34"/>
      <c r="H31" s="70"/>
      <c r="P31" s="20"/>
      <c r="W31" s="89"/>
      <c r="X31" s="89"/>
      <c r="Y31" s="89"/>
      <c r="Z31" s="89"/>
      <c r="AA31" s="89"/>
      <c r="AB31" s="89"/>
      <c r="AC31" s="89"/>
      <c r="AD31" s="89"/>
      <c r="AE31" s="70"/>
      <c r="AF31" s="70"/>
      <c r="AG31" s="70"/>
      <c r="AH31" s="98"/>
      <c r="AI31" s="98"/>
      <c r="AJ31" s="98"/>
      <c r="AK31" s="98"/>
      <c r="AL31" s="99"/>
    </row>
    <row r="32">
      <c r="A32" s="71"/>
      <c r="B32" s="71"/>
      <c r="C32" s="25"/>
      <c r="D32" s="33" t="s">
        <v>63</v>
      </c>
      <c r="E32" s="1" t="s">
        <v>64</v>
      </c>
      <c r="G32" s="34"/>
      <c r="H32" s="25"/>
      <c r="AE32" s="25"/>
      <c r="AF32" s="25"/>
      <c r="AG32" s="25"/>
      <c r="AH32" s="68"/>
      <c r="AI32" s="68"/>
      <c r="AJ32" s="68"/>
      <c r="AK32" s="98"/>
      <c r="AL32" s="68"/>
    </row>
    <row r="33">
      <c r="A33" s="71"/>
      <c r="B33" s="71"/>
      <c r="C33" s="25"/>
      <c r="D33" s="33" t="s">
        <v>65</v>
      </c>
      <c r="E33" s="1" t="s">
        <v>66</v>
      </c>
      <c r="G33" s="34"/>
      <c r="H33" s="25"/>
      <c r="AE33" s="25"/>
      <c r="AF33" s="25"/>
      <c r="AG33" s="25"/>
      <c r="AH33" s="68"/>
      <c r="AI33" s="68"/>
      <c r="AJ33" s="68"/>
      <c r="AK33" s="68"/>
      <c r="AL33" s="68"/>
    </row>
    <row r="34">
      <c r="D34" s="33" t="s">
        <v>46</v>
      </c>
      <c r="E34" s="1" t="s">
        <v>67</v>
      </c>
      <c r="G34" s="34"/>
    </row>
    <row r="35">
      <c r="D35" s="35" t="s">
        <v>68</v>
      </c>
      <c r="E35" s="36" t="s">
        <v>69</v>
      </c>
      <c r="F35" s="8"/>
      <c r="G35" s="37"/>
    </row>
    <row r="36">
      <c r="AH36" s="22"/>
      <c r="AI36" s="22"/>
      <c r="AJ36" s="22"/>
      <c r="AK36" s="22"/>
      <c r="AL36" s="22"/>
    </row>
    <row r="37">
      <c r="AH37" s="22"/>
      <c r="AI37" s="22"/>
      <c r="AJ37" s="22"/>
      <c r="AK37" s="22"/>
      <c r="AL37" s="22"/>
    </row>
    <row r="51">
      <c r="F51" s="1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</row>
    <row r="54">
      <c r="F54" s="69"/>
      <c r="G54" s="69"/>
      <c r="H54" s="69"/>
      <c r="I54" s="69"/>
      <c r="J54" s="69"/>
      <c r="K54" s="69"/>
      <c r="L54" s="69"/>
      <c r="M54" s="60"/>
      <c r="N54" s="60"/>
      <c r="O54" s="60"/>
      <c r="P54" s="60"/>
      <c r="Q54" s="61"/>
      <c r="R54" s="61"/>
      <c r="S54" s="61"/>
      <c r="T54" s="70"/>
      <c r="U54" s="70"/>
      <c r="V54" s="70"/>
    </row>
    <row r="55"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0"/>
      <c r="U55" s="60"/>
      <c r="V55" s="60"/>
    </row>
    <row r="56">
      <c r="F56" s="60"/>
      <c r="G56" s="60"/>
      <c r="H56" s="60"/>
      <c r="I56" s="60"/>
      <c r="J56" s="60"/>
      <c r="K56" s="61"/>
      <c r="L56" s="61"/>
      <c r="M56" s="70"/>
      <c r="N56" s="70"/>
      <c r="O56" s="70"/>
      <c r="P56" s="70"/>
      <c r="Q56" s="70"/>
      <c r="R56" s="70"/>
      <c r="S56" s="70"/>
      <c r="T56" s="70"/>
      <c r="U56" s="70"/>
      <c r="V56" s="70"/>
    </row>
    <row r="57"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</row>
  </sheetData>
  <mergeCells count="15">
    <mergeCell ref="E28:G28"/>
    <mergeCell ref="E29:G29"/>
    <mergeCell ref="E30:G30"/>
    <mergeCell ref="E31:G31"/>
    <mergeCell ref="E32:G32"/>
    <mergeCell ref="E33:G33"/>
    <mergeCell ref="E34:G34"/>
    <mergeCell ref="E35:G35"/>
    <mergeCell ref="C1:AL3"/>
    <mergeCell ref="C19:AG19"/>
    <mergeCell ref="D23:G23"/>
    <mergeCell ref="E24:G24"/>
    <mergeCell ref="E25:G25"/>
    <mergeCell ref="E26:G26"/>
    <mergeCell ref="E27:G27"/>
  </mergeCells>
  <conditionalFormatting sqref="C9:I9 V28 F56:L56">
    <cfRule type="cellIs" dxfId="0" priority="1" operator="equal">
      <formula>"X"</formula>
    </cfRule>
  </conditionalFormatting>
  <conditionalFormatting sqref="C9:I9 V28 F56:L56">
    <cfRule type="cellIs" dxfId="1" priority="2" operator="equal">
      <formula>"SOC-D"</formula>
    </cfRule>
  </conditionalFormatting>
  <conditionalFormatting sqref="C9:I9 V28 F56:L56">
    <cfRule type="cellIs" dxfId="2" priority="3" operator="equal">
      <formula>"SOC-N"</formula>
    </cfRule>
  </conditionalFormatting>
  <conditionalFormatting sqref="C9:I9 V28 F56:L56">
    <cfRule type="cellIs" dxfId="3" priority="4" operator="equal">
      <formula>"OB"</formula>
    </cfRule>
  </conditionalFormatting>
  <conditionalFormatting sqref="C9:I9 V28 F56:L56">
    <cfRule type="cellIs" dxfId="0" priority="5" operator="equal">
      <formula>"C"</formula>
    </cfRule>
  </conditionalFormatting>
  <conditionalFormatting sqref="C9:I9 V28 F56:L56">
    <cfRule type="cellIs" dxfId="0" priority="6" operator="equal">
      <formula>"AL"</formula>
    </cfRule>
  </conditionalFormatting>
  <conditionalFormatting sqref="C9:I9 V28 F56:L56">
    <cfRule type="cellIs" dxfId="4" priority="7" operator="equal">
      <formula>"UP"</formula>
    </cfRule>
  </conditionalFormatting>
  <conditionalFormatting sqref="C9:I9 V28 F56:L56">
    <cfRule type="cellIs" dxfId="0" priority="8" operator="equal">
      <formula>"S"</formula>
    </cfRule>
  </conditionalFormatting>
  <conditionalFormatting sqref="C9:I9 V28 F56:L56">
    <cfRule type="cellIs" dxfId="5" priority="9" operator="equal">
      <formula>"OC"</formula>
    </cfRule>
  </conditionalFormatting>
  <conditionalFormatting sqref="C9:I9 V28 F56:L56">
    <cfRule type="cellIs" dxfId="6" priority="10" operator="equal">
      <formula>"SPV"</formula>
    </cfRule>
  </conditionalFormatting>
  <conditionalFormatting sqref="C9:I9 V28 F56:L56">
    <cfRule type="cellIs" dxfId="7" priority="11" operator="equal">
      <formula>"INT"</formula>
    </cfRule>
  </conditionalFormatting>
  <conditionalFormatting sqref="C9:I9 V28 F56:L56">
    <cfRule type="cellIs" dxfId="8" priority="12" operator="equal">
      <formula>"T"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0" priority="13" operator="equal">
      <formula>"X"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1" priority="14" operator="equal">
      <formula>"SOC-D"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10" priority="15" operator="equal">
      <formula>"SOC-N"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3" priority="16" operator="equal">
      <formula>"OB"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0" priority="17" operator="equal">
      <formula>"C"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0" priority="18" operator="equal">
      <formula>"AL"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4" priority="19" operator="equal">
      <formula>"UP"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0" priority="20" operator="equal">
      <formula>"S"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5" priority="21" operator="equal">
      <formula>"OC"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6" priority="22" operator="equal">
      <formula>"SPV"</formula>
    </cfRule>
  </conditionalFormatting>
  <conditionalFormatting sqref="C6:AG16 A11:B16 F22:F31 D23:D36 E23:E31 G23:G31 C24:C31 H24:H31 J24:J31 K24 L24:P31 R24:R40 S24:AA31 I25:I28 Q25:Q31 AB25:AG31 K26:K31 I30:I31 E34:G35 J35:K36 L35:P43 S35:S36 T35:AA39 Q36:Q43 AB36:AC39 F37:F59 J40:J42 U41:X42 K42 R43 L47:Q57 R47:R51 T47:AC50 J51:J57 U52:V57 W52:X53 G53:I57 K53:K57 R53:T57">
    <cfRule type="cellIs" dxfId="7" priority="23" operator="equal">
      <formula>"INT"</formula>
    </cfRule>
  </conditionalFormatting>
  <conditionalFormatting sqref="C6:AG16 A11:B16 D23:G31 C24:C31 H24:H31 J24:J31 K24 L24:P31 R24:AA31 I25:I28 Q25:Q31 AB25:AG31 K26:K31 I30:I31 D35 L36:Q42 R36:R40 V36:AC39 T37:U39 U41:X42 K42 F53:V57">
    <cfRule type="cellIs" dxfId="8" priority="24" operator="equal">
      <formula>"T"</formula>
    </cfRule>
  </conditionalFormatting>
  <conditionalFormatting sqref="D34">
    <cfRule type="cellIs" dxfId="9" priority="25" operator="equal">
      <formula>"T"</formula>
    </cfRule>
  </conditionalFormatting>
  <conditionalFormatting sqref="AF23">
    <cfRule type="notContainsBlanks" dxfId="11" priority="26">
      <formula>LEN(TRIM(AF23))&gt;0</formula>
    </cfRule>
  </conditionalFormatting>
  <conditionalFormatting sqref="A1:AL998">
    <cfRule type="cellIs" dxfId="12" priority="27" operator="equal">
      <formula>"SD-D"</formula>
    </cfRule>
  </conditionalFormatting>
  <conditionalFormatting sqref="A1:AL998">
    <cfRule type="cellIs" dxfId="13" priority="28" operator="equal">
      <formula>"SD-N"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2" width="4.63"/>
    <col customWidth="1" min="3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167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2</v>
      </c>
      <c r="I4" s="10" t="s">
        <v>3</v>
      </c>
      <c r="J4" s="10" t="s">
        <v>4</v>
      </c>
      <c r="K4" s="10" t="s">
        <v>5</v>
      </c>
      <c r="L4" s="10" t="s">
        <v>6</v>
      </c>
      <c r="M4" s="10" t="s">
        <v>7</v>
      </c>
      <c r="N4" s="10" t="s">
        <v>8</v>
      </c>
      <c r="O4" s="10" t="s">
        <v>2</v>
      </c>
      <c r="P4" s="10" t="s">
        <v>3</v>
      </c>
      <c r="Q4" s="10" t="s">
        <v>4</v>
      </c>
      <c r="R4" s="10" t="s">
        <v>5</v>
      </c>
      <c r="S4" s="10" t="s">
        <v>6</v>
      </c>
      <c r="T4" s="10" t="s">
        <v>7</v>
      </c>
      <c r="U4" s="10" t="s">
        <v>8</v>
      </c>
      <c r="V4" s="10" t="s">
        <v>2</v>
      </c>
      <c r="W4" s="10" t="s">
        <v>3</v>
      </c>
      <c r="X4" s="10" t="s">
        <v>4</v>
      </c>
      <c r="Y4" s="10" t="s">
        <v>5</v>
      </c>
      <c r="Z4" s="10" t="s">
        <v>6</v>
      </c>
      <c r="AA4" s="10" t="s">
        <v>7</v>
      </c>
      <c r="AB4" s="10" t="s">
        <v>8</v>
      </c>
      <c r="AC4" s="10" t="s">
        <v>2</v>
      </c>
      <c r="AD4" s="10" t="s">
        <v>3</v>
      </c>
      <c r="AE4" s="10" t="s">
        <v>4</v>
      </c>
      <c r="AF4" s="10" t="s">
        <v>5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12"/>
      <c r="B6" s="68"/>
      <c r="C6" s="68"/>
      <c r="D6" s="68"/>
      <c r="E6" s="68"/>
      <c r="F6" s="71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/>
      <c r="C7" s="69"/>
      <c r="D7" s="69"/>
      <c r="E7" s="69"/>
      <c r="F7" s="69"/>
      <c r="G7" s="69"/>
      <c r="H7" s="69"/>
      <c r="I7" s="60"/>
      <c r="J7" s="60"/>
      <c r="K7" s="60"/>
      <c r="L7" s="60"/>
      <c r="M7" s="61"/>
      <c r="N7" s="61"/>
      <c r="O7" s="61"/>
      <c r="P7" s="70"/>
      <c r="Q7" s="70"/>
      <c r="R7" s="70"/>
      <c r="S7" s="70"/>
      <c r="T7" s="70"/>
      <c r="U7" s="70"/>
      <c r="V7" s="70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49">
        <f t="shared" ref="AG7:AG10" si="1">COUNTIF(B7:AF7,"D")</f>
        <v>0</v>
      </c>
      <c r="AH7" s="49">
        <f t="shared" ref="AH7:AH10" si="2">COUNTIF(B7:AF7,"N")</f>
        <v>0</v>
      </c>
      <c r="AI7" s="49">
        <f t="shared" ref="AI7:AI10" si="3">COUNTIF(B7:AF7,"X")</f>
        <v>0</v>
      </c>
      <c r="AJ7" s="49">
        <f t="shared" ref="AJ7:AJ10" si="4">AG7+AH7</f>
        <v>0</v>
      </c>
      <c r="AK7" s="84">
        <f t="shared" ref="AK7:AK10" si="5">(AJ7*12)/4.4</f>
        <v>0</v>
      </c>
    </row>
    <row r="8">
      <c r="A8" s="13" t="s">
        <v>45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0"/>
      <c r="Q8" s="60"/>
      <c r="R8" s="60"/>
      <c r="S8" s="60"/>
      <c r="T8" s="60"/>
      <c r="U8" s="61"/>
      <c r="V8" s="61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49">
        <f t="shared" si="1"/>
        <v>0</v>
      </c>
      <c r="AH8" s="49">
        <f t="shared" si="2"/>
        <v>0</v>
      </c>
      <c r="AI8" s="49">
        <f t="shared" si="3"/>
        <v>0</v>
      </c>
      <c r="AJ8" s="49">
        <f t="shared" si="4"/>
        <v>0</v>
      </c>
      <c r="AK8" s="84">
        <f t="shared" si="5"/>
        <v>0</v>
      </c>
    </row>
    <row r="9">
      <c r="A9" s="13" t="s">
        <v>73</v>
      </c>
      <c r="B9" s="60"/>
      <c r="C9" s="60"/>
      <c r="D9" s="60"/>
      <c r="E9" s="60"/>
      <c r="F9" s="60"/>
      <c r="G9" s="61"/>
      <c r="H9" s="61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60"/>
      <c r="X9" s="60"/>
      <c r="Y9" s="60"/>
      <c r="Z9" s="60"/>
      <c r="AA9" s="60"/>
      <c r="AB9" s="61"/>
      <c r="AC9" s="61"/>
      <c r="AD9" s="61"/>
      <c r="AE9" s="61"/>
      <c r="AF9" s="61"/>
      <c r="AG9" s="49">
        <f t="shared" si="1"/>
        <v>0</v>
      </c>
      <c r="AH9" s="49">
        <f t="shared" si="2"/>
        <v>0</v>
      </c>
      <c r="AI9" s="49">
        <f t="shared" si="3"/>
        <v>0</v>
      </c>
      <c r="AJ9" s="49">
        <f t="shared" si="4"/>
        <v>0</v>
      </c>
      <c r="AK9" s="84">
        <f t="shared" si="5"/>
        <v>0</v>
      </c>
    </row>
    <row r="10">
      <c r="A10" s="13" t="s">
        <v>48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49">
        <f t="shared" si="1"/>
        <v>0</v>
      </c>
      <c r="AH10" s="49">
        <f t="shared" si="2"/>
        <v>0</v>
      </c>
      <c r="AI10" s="49">
        <f t="shared" si="3"/>
        <v>0</v>
      </c>
      <c r="AJ10" s="49">
        <f t="shared" si="4"/>
        <v>0</v>
      </c>
      <c r="AK10" s="84">
        <f t="shared" si="5"/>
        <v>0</v>
      </c>
    </row>
    <row r="11">
      <c r="A11" s="23" t="s">
        <v>49</v>
      </c>
      <c r="B11" s="24">
        <f t="shared" ref="B11:AF11" si="6">COUNTIF(B7:B10,"D")</f>
        <v>0</v>
      </c>
      <c r="C11" s="24">
        <f t="shared" si="6"/>
        <v>0</v>
      </c>
      <c r="D11" s="24">
        <f t="shared" si="6"/>
        <v>0</v>
      </c>
      <c r="E11" s="24">
        <f t="shared" si="6"/>
        <v>0</v>
      </c>
      <c r="F11" s="24">
        <f t="shared" si="6"/>
        <v>0</v>
      </c>
      <c r="G11" s="24">
        <f t="shared" si="6"/>
        <v>0</v>
      </c>
      <c r="H11" s="24">
        <f t="shared" si="6"/>
        <v>0</v>
      </c>
      <c r="I11" s="24">
        <f t="shared" si="6"/>
        <v>0</v>
      </c>
      <c r="J11" s="24">
        <f t="shared" si="6"/>
        <v>0</v>
      </c>
      <c r="K11" s="24">
        <f t="shared" si="6"/>
        <v>0</v>
      </c>
      <c r="L11" s="24">
        <f t="shared" si="6"/>
        <v>0</v>
      </c>
      <c r="M11" s="24">
        <f t="shared" si="6"/>
        <v>0</v>
      </c>
      <c r="N11" s="24">
        <f t="shared" si="6"/>
        <v>0</v>
      </c>
      <c r="O11" s="24">
        <f t="shared" si="6"/>
        <v>0</v>
      </c>
      <c r="P11" s="24">
        <f t="shared" si="6"/>
        <v>0</v>
      </c>
      <c r="Q11" s="24">
        <f t="shared" si="6"/>
        <v>0</v>
      </c>
      <c r="R11" s="24">
        <f t="shared" si="6"/>
        <v>0</v>
      </c>
      <c r="S11" s="24">
        <f t="shared" si="6"/>
        <v>0</v>
      </c>
      <c r="T11" s="24">
        <f t="shared" si="6"/>
        <v>0</v>
      </c>
      <c r="U11" s="24">
        <f t="shared" si="6"/>
        <v>0</v>
      </c>
      <c r="V11" s="24">
        <f t="shared" si="6"/>
        <v>0</v>
      </c>
      <c r="W11" s="24">
        <f t="shared" si="6"/>
        <v>0</v>
      </c>
      <c r="X11" s="24">
        <f t="shared" si="6"/>
        <v>0</v>
      </c>
      <c r="Y11" s="24">
        <f t="shared" si="6"/>
        <v>0</v>
      </c>
      <c r="Z11" s="24">
        <f t="shared" si="6"/>
        <v>0</v>
      </c>
      <c r="AA11" s="24">
        <f t="shared" si="6"/>
        <v>0</v>
      </c>
      <c r="AB11" s="24">
        <f t="shared" si="6"/>
        <v>0</v>
      </c>
      <c r="AC11" s="24">
        <f t="shared" si="6"/>
        <v>0</v>
      </c>
      <c r="AD11" s="24">
        <f t="shared" si="6"/>
        <v>0</v>
      </c>
      <c r="AE11" s="24">
        <f t="shared" si="6"/>
        <v>0</v>
      </c>
      <c r="AF11" s="24">
        <f t="shared" si="6"/>
        <v>0</v>
      </c>
    </row>
    <row r="12">
      <c r="A12" s="26" t="s">
        <v>50</v>
      </c>
      <c r="B12" s="27">
        <f t="shared" ref="B12:AF12" si="7">COUNTIF(B7:B10,"N")</f>
        <v>0</v>
      </c>
      <c r="C12" s="27">
        <f t="shared" si="7"/>
        <v>0</v>
      </c>
      <c r="D12" s="27">
        <f t="shared" si="7"/>
        <v>0</v>
      </c>
      <c r="E12" s="27">
        <f t="shared" si="7"/>
        <v>0</v>
      </c>
      <c r="F12" s="27">
        <f t="shared" si="7"/>
        <v>0</v>
      </c>
      <c r="G12" s="27">
        <f t="shared" si="7"/>
        <v>0</v>
      </c>
      <c r="H12" s="27">
        <f t="shared" si="7"/>
        <v>0</v>
      </c>
      <c r="I12" s="27">
        <f t="shared" si="7"/>
        <v>0</v>
      </c>
      <c r="J12" s="27">
        <f t="shared" si="7"/>
        <v>0</v>
      </c>
      <c r="K12" s="27">
        <f t="shared" si="7"/>
        <v>0</v>
      </c>
      <c r="L12" s="27">
        <f t="shared" si="7"/>
        <v>0</v>
      </c>
      <c r="M12" s="27">
        <f t="shared" si="7"/>
        <v>0</v>
      </c>
      <c r="N12" s="27">
        <f t="shared" si="7"/>
        <v>0</v>
      </c>
      <c r="O12" s="27">
        <f t="shared" si="7"/>
        <v>0</v>
      </c>
      <c r="P12" s="27">
        <f t="shared" si="7"/>
        <v>0</v>
      </c>
      <c r="Q12" s="27">
        <f t="shared" si="7"/>
        <v>0</v>
      </c>
      <c r="R12" s="27">
        <f t="shared" si="7"/>
        <v>0</v>
      </c>
      <c r="S12" s="27">
        <f t="shared" si="7"/>
        <v>0</v>
      </c>
      <c r="T12" s="27">
        <f t="shared" si="7"/>
        <v>0</v>
      </c>
      <c r="U12" s="27">
        <f t="shared" si="7"/>
        <v>0</v>
      </c>
      <c r="V12" s="27">
        <f t="shared" si="7"/>
        <v>0</v>
      </c>
      <c r="W12" s="27">
        <f t="shared" si="7"/>
        <v>0</v>
      </c>
      <c r="X12" s="27">
        <f t="shared" si="7"/>
        <v>0</v>
      </c>
      <c r="Y12" s="27">
        <f t="shared" si="7"/>
        <v>0</v>
      </c>
      <c r="Z12" s="27">
        <f t="shared" si="7"/>
        <v>0</v>
      </c>
      <c r="AA12" s="27">
        <f t="shared" si="7"/>
        <v>0</v>
      </c>
      <c r="AB12" s="27">
        <f t="shared" si="7"/>
        <v>0</v>
      </c>
      <c r="AC12" s="27">
        <f t="shared" si="7"/>
        <v>0</v>
      </c>
      <c r="AD12" s="27">
        <f t="shared" si="7"/>
        <v>0</v>
      </c>
      <c r="AE12" s="27">
        <f t="shared" si="7"/>
        <v>0</v>
      </c>
      <c r="AF12" s="27">
        <f t="shared" si="7"/>
        <v>0</v>
      </c>
    </row>
    <row r="13">
      <c r="B13" s="85" t="s">
        <v>120</v>
      </c>
      <c r="AG13" s="44" t="s">
        <v>38</v>
      </c>
      <c r="AH13" s="45" t="s">
        <v>39</v>
      </c>
      <c r="AI13" s="46" t="s">
        <v>40</v>
      </c>
      <c r="AJ13" s="48" t="s">
        <v>42</v>
      </c>
      <c r="AK13" s="54" t="s">
        <v>76</v>
      </c>
    </row>
    <row r="14">
      <c r="A14" s="13" t="s">
        <v>104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49">
        <f t="shared" ref="AG14:AG15" si="8">COUNTIF(B14:AF14,"D")</f>
        <v>0</v>
      </c>
      <c r="AH14" s="49">
        <f t="shared" ref="AH14:AH15" si="9">COUNTIF(B14:AF14,"N")</f>
        <v>0</v>
      </c>
      <c r="AI14" s="49">
        <f t="shared" ref="AI14:AI15" si="10">COUNTIF(B14:AF14,"X")</f>
        <v>0</v>
      </c>
      <c r="AJ14" s="49">
        <f t="shared" ref="AJ14:AJ15" si="11">AG14+AH14</f>
        <v>0</v>
      </c>
      <c r="AK14" s="84">
        <f t="shared" ref="AK14:AK15" si="12">(AJ14*10)/4</f>
        <v>0</v>
      </c>
    </row>
    <row r="15">
      <c r="A15" s="13" t="s">
        <v>121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49">
        <f t="shared" si="8"/>
        <v>0</v>
      </c>
      <c r="AH15" s="49">
        <f t="shared" si="9"/>
        <v>0</v>
      </c>
      <c r="AI15" s="49">
        <f t="shared" si="10"/>
        <v>0</v>
      </c>
      <c r="AJ15" s="49">
        <f t="shared" si="11"/>
        <v>0</v>
      </c>
      <c r="AK15" s="84">
        <f t="shared" si="12"/>
        <v>0</v>
      </c>
    </row>
    <row r="16">
      <c r="I16" s="28"/>
      <c r="J16" s="28"/>
      <c r="K16" s="28"/>
      <c r="L16" s="28"/>
      <c r="M16" s="28"/>
      <c r="N16" s="28"/>
      <c r="O16" s="28"/>
      <c r="AG16" s="53"/>
      <c r="AH16" s="53"/>
      <c r="AI16" s="53"/>
      <c r="AJ16" s="53"/>
      <c r="AK16" s="53"/>
    </row>
    <row r="17">
      <c r="E17" s="29" t="s">
        <v>51</v>
      </c>
      <c r="F17" s="30"/>
      <c r="G17" s="30"/>
      <c r="H17" s="31"/>
      <c r="I17" s="32"/>
      <c r="J17" s="28"/>
      <c r="K17" s="28"/>
      <c r="L17" s="62"/>
      <c r="M17" s="28"/>
      <c r="N17" s="28"/>
      <c r="O17" s="28"/>
      <c r="AG17" s="22"/>
      <c r="AH17" s="22"/>
      <c r="AI17" s="22"/>
      <c r="AJ17" s="22"/>
      <c r="AK17" s="22"/>
    </row>
    <row r="18">
      <c r="E18" s="33" t="s">
        <v>38</v>
      </c>
      <c r="F18" s="1" t="s">
        <v>52</v>
      </c>
      <c r="H18" s="34"/>
      <c r="I18" s="28"/>
      <c r="J18" s="11"/>
      <c r="K18" s="86"/>
      <c r="L18" s="86"/>
      <c r="M18" s="86"/>
      <c r="N18" s="86"/>
      <c r="O18" s="11"/>
      <c r="P18" s="11"/>
      <c r="Q18" s="13"/>
      <c r="R18" s="11"/>
      <c r="S18" s="11"/>
      <c r="T18" s="11"/>
      <c r="U18" s="11"/>
      <c r="V18" s="11"/>
      <c r="W18" s="11"/>
      <c r="AG18" s="22"/>
      <c r="AH18" s="22"/>
      <c r="AI18" s="22"/>
      <c r="AJ18" s="22"/>
      <c r="AK18" s="22"/>
    </row>
    <row r="19">
      <c r="E19" s="33" t="s">
        <v>39</v>
      </c>
      <c r="F19" s="1" t="s">
        <v>53</v>
      </c>
      <c r="H19" s="34"/>
      <c r="J19" s="13"/>
      <c r="K19" s="87"/>
      <c r="L19" s="87"/>
      <c r="M19" s="87"/>
      <c r="N19" s="87"/>
      <c r="O19" s="13"/>
      <c r="P19" s="13"/>
      <c r="Q19" s="13"/>
      <c r="R19" s="70"/>
      <c r="S19" s="70"/>
      <c r="T19" s="70"/>
      <c r="U19" s="70"/>
      <c r="V19" s="71"/>
      <c r="W19" s="71"/>
      <c r="X19" s="71"/>
      <c r="Y19" s="71"/>
      <c r="Z19" s="71"/>
      <c r="AA19" s="71"/>
      <c r="AB19" s="71"/>
      <c r="AG19" s="22"/>
      <c r="AH19" s="22"/>
      <c r="AI19" s="22"/>
      <c r="AJ19" s="22"/>
      <c r="AK19" s="22"/>
    </row>
    <row r="20">
      <c r="E20" s="33" t="s">
        <v>41</v>
      </c>
      <c r="F20" s="1" t="s">
        <v>54</v>
      </c>
      <c r="H20" s="34"/>
      <c r="K20" s="68"/>
      <c r="L20" s="68"/>
      <c r="M20" s="68"/>
      <c r="N20" s="68"/>
      <c r="O20" s="68"/>
      <c r="P20" s="68"/>
      <c r="R20" s="60"/>
      <c r="S20" s="60"/>
      <c r="T20" s="61"/>
      <c r="U20" s="61"/>
      <c r="V20" s="70"/>
      <c r="W20" s="70"/>
      <c r="X20" s="70" t="s">
        <v>122</v>
      </c>
      <c r="Y20" s="70"/>
      <c r="Z20" s="70"/>
      <c r="AA20" s="70"/>
      <c r="AB20" s="70"/>
      <c r="AG20" s="22"/>
      <c r="AH20" s="22"/>
      <c r="AI20" s="22"/>
      <c r="AJ20" s="22"/>
      <c r="AK20" s="22"/>
    </row>
    <row r="21">
      <c r="E21" s="33" t="s">
        <v>55</v>
      </c>
      <c r="F21" s="1" t="s">
        <v>56</v>
      </c>
      <c r="H21" s="34"/>
      <c r="J21" s="19"/>
      <c r="K21" s="71"/>
      <c r="L21" s="71"/>
      <c r="M21" s="71"/>
      <c r="N21" s="71"/>
      <c r="O21" s="70"/>
      <c r="P21" s="70"/>
      <c r="Q21" s="19"/>
      <c r="R21" s="70"/>
      <c r="S21" s="70"/>
      <c r="T21" s="70"/>
      <c r="U21" s="70"/>
      <c r="V21" s="60"/>
      <c r="W21" s="60"/>
      <c r="X21" s="60" t="s">
        <v>123</v>
      </c>
      <c r="Y21" s="60" t="s">
        <v>124</v>
      </c>
      <c r="Z21" s="60"/>
      <c r="AA21" s="61"/>
      <c r="AB21" s="61"/>
    </row>
    <row r="22">
      <c r="E22" s="33" t="s">
        <v>40</v>
      </c>
      <c r="F22" s="1" t="s">
        <v>57</v>
      </c>
      <c r="H22" s="34"/>
      <c r="J22" s="13"/>
      <c r="K22" s="70"/>
      <c r="L22" s="70"/>
      <c r="M22" s="70"/>
      <c r="N22" s="70"/>
      <c r="O22" s="60"/>
      <c r="P22" s="60"/>
      <c r="Q22" s="13"/>
      <c r="R22" s="69"/>
      <c r="S22" s="69"/>
      <c r="T22" s="69"/>
      <c r="U22" s="69"/>
      <c r="V22" s="70"/>
      <c r="W22" s="70"/>
      <c r="X22" s="88" t="s">
        <v>125</v>
      </c>
      <c r="Y22" s="88" t="s">
        <v>126</v>
      </c>
      <c r="Z22" s="70"/>
      <c r="AA22" s="70"/>
      <c r="AB22" s="70"/>
    </row>
    <row r="23">
      <c r="E23" s="33" t="s">
        <v>58</v>
      </c>
      <c r="F23" s="1" t="s">
        <v>59</v>
      </c>
      <c r="H23" s="34"/>
      <c r="I23" s="72"/>
      <c r="J23" s="13"/>
      <c r="K23" s="61"/>
      <c r="L23" s="61"/>
      <c r="M23" s="61"/>
      <c r="N23" s="68"/>
      <c r="O23" s="70"/>
      <c r="P23" s="70"/>
      <c r="Q23" s="13"/>
      <c r="T23" s="20"/>
      <c r="U23" s="20"/>
      <c r="V23" s="20"/>
      <c r="W23" s="20"/>
      <c r="X23" s="13"/>
    </row>
    <row r="24">
      <c r="E24" s="33" t="s">
        <v>60</v>
      </c>
      <c r="F24" s="1" t="s">
        <v>61</v>
      </c>
      <c r="H24" s="34"/>
      <c r="I24" s="20"/>
      <c r="J24" s="13"/>
      <c r="K24" s="70"/>
      <c r="L24" s="70"/>
      <c r="M24" s="70"/>
      <c r="N24" s="61"/>
      <c r="O24" s="69"/>
      <c r="P24" s="69"/>
      <c r="Q24" s="13"/>
      <c r="T24" s="20"/>
      <c r="U24" s="20"/>
      <c r="V24" s="20"/>
      <c r="W24" s="20"/>
      <c r="X24" s="89" t="s">
        <v>127</v>
      </c>
    </row>
    <row r="25">
      <c r="E25" s="33" t="s">
        <v>44</v>
      </c>
      <c r="F25" s="1" t="s">
        <v>62</v>
      </c>
      <c r="H25" s="34"/>
      <c r="I25" s="20"/>
      <c r="J25" s="55"/>
      <c r="K25" s="25"/>
      <c r="L25" s="25"/>
      <c r="M25" s="25"/>
      <c r="N25" s="25"/>
      <c r="O25" s="55"/>
      <c r="P25" s="55"/>
      <c r="Q25" s="13"/>
      <c r="T25" s="20"/>
      <c r="U25" s="20"/>
      <c r="V25" s="20"/>
      <c r="W25" s="20"/>
    </row>
    <row r="26">
      <c r="E26" s="33" t="s">
        <v>63</v>
      </c>
      <c r="F26" s="1" t="s">
        <v>64</v>
      </c>
      <c r="H26" s="34"/>
      <c r="K26" s="25"/>
      <c r="L26" s="25"/>
      <c r="M26" s="25"/>
      <c r="N26" s="25"/>
      <c r="O26" s="20"/>
      <c r="P26" s="20"/>
      <c r="Q26" s="20"/>
    </row>
    <row r="27">
      <c r="E27" s="33" t="s">
        <v>65</v>
      </c>
      <c r="F27" s="1" t="s">
        <v>66</v>
      </c>
      <c r="H27" s="34"/>
    </row>
    <row r="28">
      <c r="E28" s="33" t="s">
        <v>46</v>
      </c>
      <c r="F28" s="1" t="s">
        <v>67</v>
      </c>
      <c r="H28" s="34"/>
    </row>
    <row r="29">
      <c r="E29" s="35" t="s">
        <v>68</v>
      </c>
      <c r="F29" s="36" t="s">
        <v>69</v>
      </c>
      <c r="G29" s="8"/>
      <c r="H29" s="37"/>
    </row>
    <row r="32">
      <c r="A32" s="6"/>
      <c r="B32" s="11"/>
      <c r="C32" s="11"/>
      <c r="D32" s="11"/>
      <c r="E32" s="11"/>
      <c r="F32" s="11"/>
      <c r="G32" s="11"/>
      <c r="H32" s="11"/>
    </row>
    <row r="33">
      <c r="A33" s="13" t="s">
        <v>104</v>
      </c>
      <c r="B33" s="90"/>
      <c r="C33" s="69"/>
      <c r="D33" s="69"/>
      <c r="E33" s="69"/>
      <c r="F33" s="69"/>
      <c r="G33" s="69"/>
      <c r="H33" s="69" t="s">
        <v>38</v>
      </c>
      <c r="I33" s="69" t="s">
        <v>38</v>
      </c>
      <c r="J33" s="69" t="s">
        <v>38</v>
      </c>
      <c r="K33" s="69" t="s">
        <v>38</v>
      </c>
      <c r="L33" s="69" t="s">
        <v>38</v>
      </c>
      <c r="M33" s="69" t="s">
        <v>40</v>
      </c>
      <c r="N33" s="69" t="s">
        <v>40</v>
      </c>
      <c r="O33" s="69" t="s">
        <v>38</v>
      </c>
      <c r="P33" s="69" t="s">
        <v>38</v>
      </c>
      <c r="Q33" s="69" t="s">
        <v>38</v>
      </c>
      <c r="R33" s="69" t="s">
        <v>38</v>
      </c>
      <c r="S33" s="69" t="s">
        <v>38</v>
      </c>
      <c r="T33" s="69" t="s">
        <v>40</v>
      </c>
      <c r="U33" s="69" t="s">
        <v>40</v>
      </c>
      <c r="V33" s="69" t="s">
        <v>40</v>
      </c>
      <c r="W33" s="69" t="s">
        <v>39</v>
      </c>
      <c r="X33" s="69" t="s">
        <v>39</v>
      </c>
      <c r="Y33" s="69" t="s">
        <v>39</v>
      </c>
      <c r="Z33" s="69" t="s">
        <v>39</v>
      </c>
      <c r="AA33" s="69" t="s">
        <v>39</v>
      </c>
      <c r="AB33" s="69" t="s">
        <v>40</v>
      </c>
      <c r="AC33" s="69" t="s">
        <v>40</v>
      </c>
      <c r="AD33" s="69" t="s">
        <v>39</v>
      </c>
      <c r="AE33" s="69" t="s">
        <v>39</v>
      </c>
      <c r="AF33" s="69" t="s">
        <v>39</v>
      </c>
    </row>
    <row r="34">
      <c r="A34" s="13" t="s">
        <v>121</v>
      </c>
      <c r="B34" s="69"/>
      <c r="C34" s="69"/>
      <c r="D34" s="69"/>
      <c r="E34" s="69"/>
      <c r="F34" s="69"/>
      <c r="G34" s="69"/>
      <c r="H34" s="69"/>
      <c r="I34" s="69" t="s">
        <v>39</v>
      </c>
      <c r="J34" s="69" t="s">
        <v>39</v>
      </c>
      <c r="K34" s="69" t="s">
        <v>39</v>
      </c>
      <c r="L34" s="69" t="s">
        <v>39</v>
      </c>
      <c r="M34" s="69" t="s">
        <v>39</v>
      </c>
      <c r="N34" s="69" t="s">
        <v>40</v>
      </c>
      <c r="O34" s="69" t="s">
        <v>40</v>
      </c>
      <c r="P34" s="69" t="s">
        <v>39</v>
      </c>
      <c r="Q34" s="69" t="s">
        <v>39</v>
      </c>
      <c r="R34" s="69" t="s">
        <v>39</v>
      </c>
      <c r="S34" s="69" t="s">
        <v>39</v>
      </c>
      <c r="T34" s="69" t="s">
        <v>39</v>
      </c>
      <c r="U34" s="69" t="s">
        <v>40</v>
      </c>
      <c r="V34" s="69" t="s">
        <v>38</v>
      </c>
      <c r="W34" s="69" t="s">
        <v>38</v>
      </c>
      <c r="X34" s="69" t="s">
        <v>38</v>
      </c>
      <c r="Y34" s="69" t="s">
        <v>38</v>
      </c>
      <c r="Z34" s="69" t="s">
        <v>38</v>
      </c>
      <c r="AA34" s="69" t="s">
        <v>40</v>
      </c>
      <c r="AB34" s="69" t="s">
        <v>40</v>
      </c>
      <c r="AC34" s="69" t="s">
        <v>38</v>
      </c>
      <c r="AD34" s="69" t="s">
        <v>38</v>
      </c>
      <c r="AE34" s="69" t="s">
        <v>38</v>
      </c>
      <c r="AF34" s="69" t="s">
        <v>38</v>
      </c>
    </row>
    <row r="35">
      <c r="A35" s="13"/>
      <c r="B35" s="20"/>
      <c r="C35" s="20"/>
      <c r="D35" s="20"/>
      <c r="E35" s="20"/>
      <c r="F35" s="20"/>
      <c r="G35" s="20"/>
      <c r="H35" s="20"/>
    </row>
    <row r="36">
      <c r="A36" s="13"/>
      <c r="B36" s="20"/>
      <c r="C36" s="20"/>
      <c r="D36" s="20"/>
      <c r="E36" s="66"/>
      <c r="F36" s="66"/>
      <c r="G36" s="67"/>
      <c r="H36" s="67"/>
    </row>
    <row r="37">
      <c r="A37" s="13"/>
      <c r="B37" s="20"/>
      <c r="C37" s="20"/>
      <c r="D37" s="20"/>
      <c r="E37" s="20"/>
      <c r="F37" s="20"/>
      <c r="G37" s="20"/>
      <c r="H37" s="20"/>
    </row>
  </sheetData>
  <mergeCells count="16">
    <mergeCell ref="B1:AC3"/>
    <mergeCell ref="B13:AF13"/>
    <mergeCell ref="E17:H17"/>
    <mergeCell ref="F18:H18"/>
    <mergeCell ref="F19:H19"/>
    <mergeCell ref="F20:H20"/>
    <mergeCell ref="F21:H21"/>
    <mergeCell ref="F28:H28"/>
    <mergeCell ref="F29:H29"/>
    <mergeCell ref="F22:H22"/>
    <mergeCell ref="F23:H23"/>
    <mergeCell ref="F24:H24"/>
    <mergeCell ref="X24:AE26"/>
    <mergeCell ref="F25:H25"/>
    <mergeCell ref="F26:H26"/>
    <mergeCell ref="F27:H27"/>
  </mergeCells>
  <conditionalFormatting sqref="B9:H9 T23:W23">
    <cfRule type="cellIs" dxfId="0" priority="1" operator="equal">
      <formula>"X"</formula>
    </cfRule>
  </conditionalFormatting>
  <conditionalFormatting sqref="B9:H9 T23:W23">
    <cfRule type="cellIs" dxfId="1" priority="2" operator="equal">
      <formula>"D"</formula>
    </cfRule>
  </conditionalFormatting>
  <conditionalFormatting sqref="B9:H9 T23:W23">
    <cfRule type="cellIs" dxfId="2" priority="3" operator="equal">
      <formula>"N"</formula>
    </cfRule>
  </conditionalFormatting>
  <conditionalFormatting sqref="B9:H9 T23:W23">
    <cfRule type="cellIs" dxfId="3" priority="4" operator="equal">
      <formula>"OB"</formula>
    </cfRule>
  </conditionalFormatting>
  <conditionalFormatting sqref="B9:H9 T23:W23">
    <cfRule type="cellIs" dxfId="0" priority="5" operator="equal">
      <formula>"C"</formula>
    </cfRule>
  </conditionalFormatting>
  <conditionalFormatting sqref="B9:H9 T23:W23">
    <cfRule type="cellIs" dxfId="0" priority="6" operator="equal">
      <formula>"AL"</formula>
    </cfRule>
  </conditionalFormatting>
  <conditionalFormatting sqref="B9:H9 T23:W23">
    <cfRule type="cellIs" dxfId="4" priority="7" operator="equal">
      <formula>"UP"</formula>
    </cfRule>
  </conditionalFormatting>
  <conditionalFormatting sqref="B9:H9 T23:W23">
    <cfRule type="cellIs" dxfId="0" priority="8" operator="equal">
      <formula>"S"</formula>
    </cfRule>
  </conditionalFormatting>
  <conditionalFormatting sqref="B9:H9 T23:W23">
    <cfRule type="cellIs" dxfId="5" priority="9" operator="equal">
      <formula>"OC"</formula>
    </cfRule>
  </conditionalFormatting>
  <conditionalFormatting sqref="B9:H9 T23:W23">
    <cfRule type="cellIs" dxfId="6" priority="10" operator="equal">
      <formula>"SPV"</formula>
    </cfRule>
  </conditionalFormatting>
  <conditionalFormatting sqref="B9:H9 T23:W23">
    <cfRule type="cellIs" dxfId="7" priority="11" operator="equal">
      <formula>"INT"</formula>
    </cfRule>
  </conditionalFormatting>
  <conditionalFormatting sqref="B9:H9 T23:W23">
    <cfRule type="cellIs" dxfId="8" priority="12" operator="equal">
      <formula>"T"</formula>
    </cfRule>
  </conditionalFormatting>
  <conditionalFormatting sqref="B7:AF10 B14:AF15 E18:E29 R19:AB22 K21:P26 I23:I25 T24:W25 J25 Q26 B33:H37 I33:AF34 G39:J39">
    <cfRule type="cellIs" dxfId="0" priority="13" operator="equal">
      <formula>"X"</formula>
    </cfRule>
  </conditionalFormatting>
  <conditionalFormatting sqref="B7:AF10 B14:AF15 E18:E29 R19:AB22 K21:P26 I23:I25 T24:W25 J25 Q26 B33:H37 I33:AF34 G39:J39">
    <cfRule type="cellIs" dxfId="1" priority="14" operator="equal">
      <formula>"D"</formula>
    </cfRule>
  </conditionalFormatting>
  <conditionalFormatting sqref="B7:AF10 B14:AF15 E18:E29 R19:AB22 K21:P26 I23:I25 T24:W25 J25 Q26 B33:H37 I33:AF34 G39:J39">
    <cfRule type="cellIs" dxfId="2" priority="15" operator="equal">
      <formula>"N"</formula>
    </cfRule>
  </conditionalFormatting>
  <conditionalFormatting sqref="B7:AF10 B14:AF15 E18:E29 R19:AB22 K21:P26 I23:I25 T24:W25 J25 Q26 B33:H37 I33:AF34 G39:J39">
    <cfRule type="cellIs" dxfId="3" priority="16" operator="equal">
      <formula>"OB"</formula>
    </cfRule>
  </conditionalFormatting>
  <conditionalFormatting sqref="B7:AF10 B14:AF15 E18:E29 R19:AB22 K21:P26 I23:I25 T24:W25 J25 Q26 B33:H37 I33:AF34 G39:J39">
    <cfRule type="cellIs" dxfId="0" priority="17" operator="equal">
      <formula>"C"</formula>
    </cfRule>
  </conditionalFormatting>
  <conditionalFormatting sqref="B7:AF10 B14:AF15 E18:E29 R19:AB22 K21:P26 I23:I25 T24:W25 J25 Q26 B33:H37 I33:AF34 G39:J39">
    <cfRule type="cellIs" dxfId="0" priority="18" operator="equal">
      <formula>"AL"</formula>
    </cfRule>
  </conditionalFormatting>
  <conditionalFormatting sqref="B7:AF10 B14:AF15 E18:E29 R19:AB22 K21:P26 I23:I25 T24:W25 J25 Q26 B33:H37 I33:AF34 G39:J39">
    <cfRule type="cellIs" dxfId="4" priority="19" operator="equal">
      <formula>"UP"</formula>
    </cfRule>
  </conditionalFormatting>
  <conditionalFormatting sqref="B7:AF10 B14:AF15 E18:E29 R19:AB22 K21:P26 I23:I25 T24:W25 J25 Q26 B33:H37 I33:AF34 G39:J39">
    <cfRule type="cellIs" dxfId="0" priority="20" operator="equal">
      <formula>"S"</formula>
    </cfRule>
  </conditionalFormatting>
  <conditionalFormatting sqref="B7:AF10 B14:AF15 E18:E29 R19:AB22 K21:P26 I23:I25 T24:W25 J25 Q26 B33:H37 I33:AF34 G39:J39">
    <cfRule type="cellIs" dxfId="5" priority="21" operator="equal">
      <formula>"OC"</formula>
    </cfRule>
  </conditionalFormatting>
  <conditionalFormatting sqref="B7:AF10 B14:AF15 E18:E29 R19:AB22 K21:P26 I23:I25 T24:W25 J25 Q26 B33:H37 I33:AF34 G39:J39">
    <cfRule type="cellIs" dxfId="6" priority="22" operator="equal">
      <formula>"SPV"</formula>
    </cfRule>
  </conditionalFormatting>
  <conditionalFormatting sqref="B7:AF10 B14:AF15 E18:E29 R19:AB22 K21:P26 I23:I25 T24:W25 J25 Q26 B33:H37 I33:AF34 G39:J39">
    <cfRule type="cellIs" dxfId="7" priority="23" operator="equal">
      <formula>"INT"</formula>
    </cfRule>
  </conditionalFormatting>
  <conditionalFormatting sqref="B7:AF10 B14:AF15 R19:AB22 K21:P25 T24:W25 J25 B33:AF34">
    <cfRule type="cellIs" dxfId="8" priority="24" operator="equal">
      <formula>"T"</formula>
    </cfRule>
  </conditionalFormatting>
  <conditionalFormatting sqref="E28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6" width="6.88"/>
    <col customWidth="1" min="37" max="37" width="14.13"/>
  </cols>
  <sheetData>
    <row r="1">
      <c r="A1" s="1" t="s">
        <v>0</v>
      </c>
      <c r="B1" s="2" t="s">
        <v>167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3"/>
      <c r="AE1" s="83"/>
      <c r="AF1" s="83"/>
      <c r="AG1" s="4"/>
      <c r="AH1" s="4"/>
      <c r="AI1" s="4"/>
      <c r="AJ1" s="4"/>
      <c r="AK1" s="4"/>
    </row>
    <row r="2">
      <c r="B2" s="5"/>
      <c r="AD2" s="83"/>
      <c r="AE2" s="83"/>
      <c r="AF2" s="83"/>
      <c r="AG2" s="4"/>
      <c r="AH2" s="4"/>
      <c r="AI2" s="4"/>
      <c r="AJ2" s="4"/>
      <c r="AK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3"/>
      <c r="AE3" s="83"/>
      <c r="AF3" s="83"/>
      <c r="AG3" s="4"/>
      <c r="AH3" s="4"/>
      <c r="AI3" s="4"/>
      <c r="AJ3" s="4"/>
      <c r="AK3" s="4"/>
    </row>
    <row r="4">
      <c r="A4" s="6"/>
      <c r="B4" s="42" t="s">
        <v>5</v>
      </c>
      <c r="C4" s="10" t="s">
        <v>6</v>
      </c>
      <c r="D4" s="10" t="s">
        <v>7</v>
      </c>
      <c r="E4" s="10" t="s">
        <v>8</v>
      </c>
      <c r="F4" s="10" t="s">
        <v>2</v>
      </c>
      <c r="G4" s="10" t="s">
        <v>3</v>
      </c>
      <c r="H4" s="10" t="s">
        <v>4</v>
      </c>
      <c r="I4" s="10" t="s">
        <v>5</v>
      </c>
      <c r="J4" s="10" t="s">
        <v>6</v>
      </c>
      <c r="K4" s="10" t="s">
        <v>7</v>
      </c>
      <c r="L4" s="10" t="s">
        <v>8</v>
      </c>
      <c r="M4" s="10" t="s">
        <v>2</v>
      </c>
      <c r="N4" s="10" t="s">
        <v>3</v>
      </c>
      <c r="O4" s="10" t="s">
        <v>4</v>
      </c>
      <c r="P4" s="10" t="s">
        <v>5</v>
      </c>
      <c r="Q4" s="10" t="s">
        <v>6</v>
      </c>
      <c r="R4" s="10" t="s">
        <v>7</v>
      </c>
      <c r="S4" s="10" t="s">
        <v>8</v>
      </c>
      <c r="T4" s="10" t="s">
        <v>2</v>
      </c>
      <c r="U4" s="10" t="s">
        <v>3</v>
      </c>
      <c r="V4" s="10" t="s">
        <v>4</v>
      </c>
      <c r="W4" s="10" t="s">
        <v>5</v>
      </c>
      <c r="X4" s="10" t="s">
        <v>6</v>
      </c>
      <c r="Y4" s="10" t="s">
        <v>7</v>
      </c>
      <c r="Z4" s="10" t="s">
        <v>8</v>
      </c>
      <c r="AA4" s="10" t="s">
        <v>2</v>
      </c>
      <c r="AB4" s="10" t="s">
        <v>3</v>
      </c>
      <c r="AC4" s="10" t="s">
        <v>4</v>
      </c>
      <c r="AD4" s="10" t="s">
        <v>5</v>
      </c>
      <c r="AE4" s="10" t="s">
        <v>6</v>
      </c>
      <c r="AF4" s="10" t="s">
        <v>7</v>
      </c>
      <c r="AG4" s="11"/>
      <c r="AH4" s="11"/>
      <c r="AI4" s="11"/>
      <c r="AJ4" s="11"/>
      <c r="AK4" s="11"/>
    </row>
    <row r="5">
      <c r="A5" s="12"/>
      <c r="B5" s="13" t="s">
        <v>71</v>
      </c>
      <c r="C5" s="13" t="s">
        <v>75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3" t="s">
        <v>17</v>
      </c>
      <c r="L5" s="13" t="s">
        <v>18</v>
      </c>
      <c r="M5" s="13" t="s">
        <v>19</v>
      </c>
      <c r="N5" s="13" t="s">
        <v>20</v>
      </c>
      <c r="O5" s="13" t="s">
        <v>21</v>
      </c>
      <c r="P5" s="13" t="s">
        <v>22</v>
      </c>
      <c r="Q5" s="13" t="s">
        <v>23</v>
      </c>
      <c r="R5" s="13" t="s">
        <v>24</v>
      </c>
      <c r="S5" s="13" t="s">
        <v>25</v>
      </c>
      <c r="T5" s="13" t="s">
        <v>26</v>
      </c>
      <c r="U5" s="13" t="s">
        <v>27</v>
      </c>
      <c r="V5" s="13" t="s">
        <v>28</v>
      </c>
      <c r="W5" s="13" t="s">
        <v>29</v>
      </c>
      <c r="X5" s="13" t="s">
        <v>30</v>
      </c>
      <c r="Y5" s="13" t="s">
        <v>31</v>
      </c>
      <c r="Z5" s="13" t="s">
        <v>32</v>
      </c>
      <c r="AA5" s="13" t="s">
        <v>33</v>
      </c>
      <c r="AB5" s="13" t="s">
        <v>34</v>
      </c>
      <c r="AC5" s="13" t="s">
        <v>35</v>
      </c>
      <c r="AD5" s="13" t="s">
        <v>36</v>
      </c>
      <c r="AE5" s="13" t="s">
        <v>37</v>
      </c>
      <c r="AF5" s="13" t="s">
        <v>70</v>
      </c>
      <c r="AG5" s="13"/>
      <c r="AH5" s="13"/>
      <c r="AI5" s="13"/>
      <c r="AJ5" s="13"/>
      <c r="AK5" s="13"/>
    </row>
    <row r="6">
      <c r="A6" s="12"/>
      <c r="B6" s="68"/>
      <c r="C6" s="68"/>
      <c r="D6" s="71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44" t="s">
        <v>38</v>
      </c>
      <c r="AH6" s="45" t="s">
        <v>39</v>
      </c>
      <c r="AI6" s="46" t="s">
        <v>40</v>
      </c>
      <c r="AJ6" s="48" t="s">
        <v>42</v>
      </c>
      <c r="AK6" s="54" t="s">
        <v>76</v>
      </c>
    </row>
    <row r="7">
      <c r="A7" s="19" t="s">
        <v>43</v>
      </c>
      <c r="B7" s="69"/>
      <c r="C7" s="69"/>
      <c r="D7" s="69"/>
      <c r="E7" s="69"/>
      <c r="F7" s="69"/>
      <c r="G7" s="69"/>
      <c r="H7" s="69"/>
      <c r="I7" s="60"/>
      <c r="J7" s="60"/>
      <c r="K7" s="60"/>
      <c r="L7" s="60"/>
      <c r="M7" s="60"/>
      <c r="N7" s="61"/>
      <c r="O7" s="61"/>
      <c r="P7" s="70"/>
      <c r="Q7" s="70"/>
      <c r="R7" s="70"/>
      <c r="S7" s="70"/>
      <c r="T7" s="70"/>
      <c r="U7" s="70"/>
      <c r="V7" s="70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49">
        <f t="shared" ref="AG7:AG10" si="1">COUNTIF(B7:AF7,"D")</f>
        <v>0</v>
      </c>
      <c r="AH7" s="49">
        <f t="shared" ref="AH7:AH10" si="2">COUNTIF(B7:AF7,"N")</f>
        <v>0</v>
      </c>
      <c r="AI7" s="49">
        <f t="shared" ref="AI7:AI10" si="3">COUNTIF(B7:AF7,"X")</f>
        <v>0</v>
      </c>
      <c r="AJ7" s="49">
        <f t="shared" ref="AJ7:AJ10" si="4">AG7+AH7</f>
        <v>0</v>
      </c>
      <c r="AK7" s="84">
        <f t="shared" ref="AK7:AK10" si="5">(AJ7*12)/4.4</f>
        <v>0</v>
      </c>
    </row>
    <row r="8">
      <c r="A8" s="13" t="s">
        <v>45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0"/>
      <c r="Q8" s="60"/>
      <c r="R8" s="60"/>
      <c r="S8" s="60"/>
      <c r="T8" s="60"/>
      <c r="U8" s="61"/>
      <c r="V8" s="61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49">
        <f t="shared" si="1"/>
        <v>0</v>
      </c>
      <c r="AH8" s="49">
        <f t="shared" si="2"/>
        <v>0</v>
      </c>
      <c r="AI8" s="49">
        <f t="shared" si="3"/>
        <v>0</v>
      </c>
      <c r="AJ8" s="49">
        <f t="shared" si="4"/>
        <v>0</v>
      </c>
      <c r="AK8" s="84">
        <f t="shared" si="5"/>
        <v>0</v>
      </c>
    </row>
    <row r="9">
      <c r="A9" s="13" t="s">
        <v>73</v>
      </c>
      <c r="B9" s="60"/>
      <c r="C9" s="60"/>
      <c r="D9" s="60"/>
      <c r="E9" s="60"/>
      <c r="F9" s="60"/>
      <c r="G9" s="61"/>
      <c r="H9" s="61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60"/>
      <c r="X9" s="60"/>
      <c r="Y9" s="60"/>
      <c r="Z9" s="60"/>
      <c r="AA9" s="60"/>
      <c r="AB9" s="61"/>
      <c r="AC9" s="61"/>
      <c r="AD9" s="61"/>
      <c r="AE9" s="61"/>
      <c r="AF9" s="61"/>
      <c r="AG9" s="49">
        <f t="shared" si="1"/>
        <v>0</v>
      </c>
      <c r="AH9" s="49">
        <f t="shared" si="2"/>
        <v>0</v>
      </c>
      <c r="AI9" s="49">
        <f t="shared" si="3"/>
        <v>0</v>
      </c>
      <c r="AJ9" s="49">
        <f t="shared" si="4"/>
        <v>0</v>
      </c>
      <c r="AK9" s="84">
        <f t="shared" si="5"/>
        <v>0</v>
      </c>
    </row>
    <row r="10">
      <c r="A10" s="13" t="s">
        <v>48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49">
        <f t="shared" si="1"/>
        <v>0</v>
      </c>
      <c r="AH10" s="49">
        <f t="shared" si="2"/>
        <v>0</v>
      </c>
      <c r="AI10" s="49">
        <f t="shared" si="3"/>
        <v>0</v>
      </c>
      <c r="AJ10" s="49">
        <f t="shared" si="4"/>
        <v>0</v>
      </c>
      <c r="AK10" s="84">
        <f t="shared" si="5"/>
        <v>0</v>
      </c>
    </row>
    <row r="11">
      <c r="A11" s="23" t="s">
        <v>49</v>
      </c>
      <c r="B11" s="24">
        <f t="shared" ref="B11:AF11" si="6">COUNTIF(B7:B10,"D")</f>
        <v>0</v>
      </c>
      <c r="C11" s="24">
        <f t="shared" si="6"/>
        <v>0</v>
      </c>
      <c r="D11" s="24">
        <f t="shared" si="6"/>
        <v>0</v>
      </c>
      <c r="E11" s="24">
        <f t="shared" si="6"/>
        <v>0</v>
      </c>
      <c r="F11" s="24">
        <f t="shared" si="6"/>
        <v>0</v>
      </c>
      <c r="G11" s="24">
        <f t="shared" si="6"/>
        <v>0</v>
      </c>
      <c r="H11" s="24">
        <f t="shared" si="6"/>
        <v>0</v>
      </c>
      <c r="I11" s="24">
        <f t="shared" si="6"/>
        <v>0</v>
      </c>
      <c r="J11" s="24">
        <f t="shared" si="6"/>
        <v>0</v>
      </c>
      <c r="K11" s="24">
        <f t="shared" si="6"/>
        <v>0</v>
      </c>
      <c r="L11" s="24">
        <f t="shared" si="6"/>
        <v>0</v>
      </c>
      <c r="M11" s="24">
        <f t="shared" si="6"/>
        <v>0</v>
      </c>
      <c r="N11" s="24">
        <f t="shared" si="6"/>
        <v>0</v>
      </c>
      <c r="O11" s="24">
        <f t="shared" si="6"/>
        <v>0</v>
      </c>
      <c r="P11" s="24">
        <f t="shared" si="6"/>
        <v>0</v>
      </c>
      <c r="Q11" s="24">
        <f t="shared" si="6"/>
        <v>0</v>
      </c>
      <c r="R11" s="24">
        <f t="shared" si="6"/>
        <v>0</v>
      </c>
      <c r="S11" s="24">
        <f t="shared" si="6"/>
        <v>0</v>
      </c>
      <c r="T11" s="24">
        <f t="shared" si="6"/>
        <v>0</v>
      </c>
      <c r="U11" s="24">
        <f t="shared" si="6"/>
        <v>0</v>
      </c>
      <c r="V11" s="24">
        <f t="shared" si="6"/>
        <v>0</v>
      </c>
      <c r="W11" s="24">
        <f t="shared" si="6"/>
        <v>0</v>
      </c>
      <c r="X11" s="24">
        <f t="shared" si="6"/>
        <v>0</v>
      </c>
      <c r="Y11" s="24">
        <f t="shared" si="6"/>
        <v>0</v>
      </c>
      <c r="Z11" s="24">
        <f t="shared" si="6"/>
        <v>0</v>
      </c>
      <c r="AA11" s="24">
        <f t="shared" si="6"/>
        <v>0</v>
      </c>
      <c r="AB11" s="24">
        <f t="shared" si="6"/>
        <v>0</v>
      </c>
      <c r="AC11" s="24">
        <f t="shared" si="6"/>
        <v>0</v>
      </c>
      <c r="AD11" s="24">
        <f t="shared" si="6"/>
        <v>0</v>
      </c>
      <c r="AE11" s="24">
        <f t="shared" si="6"/>
        <v>0</v>
      </c>
      <c r="AF11" s="24">
        <f t="shared" si="6"/>
        <v>0</v>
      </c>
    </row>
    <row r="12">
      <c r="A12" s="26" t="s">
        <v>50</v>
      </c>
      <c r="B12" s="27">
        <f t="shared" ref="B12:AF12" si="7">COUNTIF(B7:B10,"N")</f>
        <v>0</v>
      </c>
      <c r="C12" s="27">
        <f t="shared" si="7"/>
        <v>0</v>
      </c>
      <c r="D12" s="27">
        <f t="shared" si="7"/>
        <v>0</v>
      </c>
      <c r="E12" s="27">
        <f t="shared" si="7"/>
        <v>0</v>
      </c>
      <c r="F12" s="27">
        <f t="shared" si="7"/>
        <v>0</v>
      </c>
      <c r="G12" s="27">
        <f t="shared" si="7"/>
        <v>0</v>
      </c>
      <c r="H12" s="27">
        <f t="shared" si="7"/>
        <v>0</v>
      </c>
      <c r="I12" s="27">
        <f t="shared" si="7"/>
        <v>0</v>
      </c>
      <c r="J12" s="27">
        <f t="shared" si="7"/>
        <v>0</v>
      </c>
      <c r="K12" s="27">
        <f t="shared" si="7"/>
        <v>0</v>
      </c>
      <c r="L12" s="27">
        <f t="shared" si="7"/>
        <v>0</v>
      </c>
      <c r="M12" s="27">
        <f t="shared" si="7"/>
        <v>0</v>
      </c>
      <c r="N12" s="27">
        <f t="shared" si="7"/>
        <v>0</v>
      </c>
      <c r="O12" s="27">
        <f t="shared" si="7"/>
        <v>0</v>
      </c>
      <c r="P12" s="27">
        <f t="shared" si="7"/>
        <v>0</v>
      </c>
      <c r="Q12" s="27">
        <f t="shared" si="7"/>
        <v>0</v>
      </c>
      <c r="R12" s="27">
        <f t="shared" si="7"/>
        <v>0</v>
      </c>
      <c r="S12" s="27">
        <f t="shared" si="7"/>
        <v>0</v>
      </c>
      <c r="T12" s="27">
        <f t="shared" si="7"/>
        <v>0</v>
      </c>
      <c r="U12" s="27">
        <f t="shared" si="7"/>
        <v>0</v>
      </c>
      <c r="V12" s="27">
        <f t="shared" si="7"/>
        <v>0</v>
      </c>
      <c r="W12" s="27">
        <f t="shared" si="7"/>
        <v>0</v>
      </c>
      <c r="X12" s="27">
        <f t="shared" si="7"/>
        <v>0</v>
      </c>
      <c r="Y12" s="27">
        <f t="shared" si="7"/>
        <v>0</v>
      </c>
      <c r="Z12" s="27">
        <f t="shared" si="7"/>
        <v>0</v>
      </c>
      <c r="AA12" s="27">
        <f t="shared" si="7"/>
        <v>0</v>
      </c>
      <c r="AB12" s="27">
        <f t="shared" si="7"/>
        <v>0</v>
      </c>
      <c r="AC12" s="27">
        <f t="shared" si="7"/>
        <v>0</v>
      </c>
      <c r="AD12" s="27">
        <f t="shared" si="7"/>
        <v>0</v>
      </c>
      <c r="AE12" s="27">
        <f t="shared" si="7"/>
        <v>0</v>
      </c>
      <c r="AF12" s="27">
        <f t="shared" si="7"/>
        <v>0</v>
      </c>
    </row>
    <row r="13">
      <c r="I13" s="28"/>
      <c r="J13" s="28"/>
      <c r="K13" s="28"/>
      <c r="L13" s="28"/>
      <c r="M13" s="28"/>
      <c r="N13" s="28"/>
      <c r="O13" s="28"/>
      <c r="AG13" s="53"/>
      <c r="AH13" s="53"/>
      <c r="AI13" s="53"/>
      <c r="AJ13" s="53"/>
      <c r="AK13" s="53"/>
    </row>
    <row r="14">
      <c r="E14" s="29" t="s">
        <v>51</v>
      </c>
      <c r="F14" s="30"/>
      <c r="G14" s="30"/>
      <c r="H14" s="31"/>
      <c r="I14" s="32"/>
      <c r="J14" s="28"/>
      <c r="K14" s="28"/>
      <c r="L14" s="62"/>
      <c r="M14" s="28"/>
      <c r="N14" s="28"/>
      <c r="O14" s="28"/>
      <c r="AG14" s="22"/>
      <c r="AH14" s="22"/>
      <c r="AI14" s="22"/>
      <c r="AJ14" s="22"/>
      <c r="AK14" s="22"/>
    </row>
    <row r="15">
      <c r="E15" s="33" t="s">
        <v>38</v>
      </c>
      <c r="F15" s="1" t="s">
        <v>52</v>
      </c>
      <c r="H15" s="34"/>
      <c r="I15" s="28"/>
      <c r="J15" s="11"/>
      <c r="K15" s="11"/>
      <c r="L15" s="11"/>
      <c r="M15" s="11"/>
      <c r="N15" s="11"/>
      <c r="O15" s="11"/>
      <c r="P15" s="11"/>
      <c r="Q15" s="13"/>
      <c r="R15" s="11"/>
      <c r="S15" s="11"/>
      <c r="T15" s="11"/>
      <c r="U15" s="11"/>
      <c r="V15" s="11"/>
      <c r="W15" s="11"/>
      <c r="AG15" s="22"/>
      <c r="AH15" s="22"/>
      <c r="AI15" s="22"/>
      <c r="AJ15" s="22"/>
      <c r="AK15" s="22"/>
    </row>
    <row r="16">
      <c r="E16" s="33" t="s">
        <v>39</v>
      </c>
      <c r="F16" s="1" t="s">
        <v>53</v>
      </c>
      <c r="H16" s="34"/>
      <c r="J16" s="13"/>
      <c r="K16" s="13"/>
      <c r="L16" s="13"/>
      <c r="M16" s="13"/>
      <c r="N16" s="13"/>
      <c r="O16" s="13"/>
      <c r="P16" s="13"/>
      <c r="Q16" s="13"/>
      <c r="R16" s="70"/>
      <c r="S16" s="70"/>
      <c r="T16" s="70"/>
      <c r="U16" s="70"/>
      <c r="V16" s="71"/>
      <c r="W16" s="71"/>
      <c r="X16" s="71"/>
      <c r="Y16" s="71"/>
      <c r="Z16" s="71"/>
      <c r="AA16" s="71"/>
      <c r="AB16" s="71"/>
      <c r="AG16" s="22"/>
      <c r="AH16" s="22"/>
      <c r="AI16" s="22"/>
      <c r="AJ16" s="22"/>
      <c r="AK16" s="22"/>
    </row>
    <row r="17">
      <c r="E17" s="33" t="s">
        <v>41</v>
      </c>
      <c r="F17" s="1" t="s">
        <v>54</v>
      </c>
      <c r="H17" s="34"/>
      <c r="M17" s="68"/>
      <c r="N17" s="68"/>
      <c r="O17" s="68"/>
      <c r="P17" s="68"/>
      <c r="R17" s="60"/>
      <c r="S17" s="60"/>
      <c r="T17" s="61"/>
      <c r="U17" s="61"/>
      <c r="V17" s="70"/>
      <c r="W17" s="70"/>
      <c r="X17" s="70"/>
      <c r="Y17" s="70"/>
      <c r="Z17" s="70"/>
      <c r="AA17" s="70"/>
      <c r="AB17" s="70"/>
      <c r="AG17" s="22"/>
      <c r="AH17" s="22"/>
      <c r="AI17" s="22"/>
      <c r="AJ17" s="22"/>
      <c r="AK17" s="22"/>
    </row>
    <row r="18">
      <c r="E18" s="33" t="s">
        <v>55</v>
      </c>
      <c r="F18" s="1" t="s">
        <v>56</v>
      </c>
      <c r="H18" s="34"/>
      <c r="J18" s="19"/>
      <c r="M18" s="61"/>
      <c r="N18" s="70"/>
      <c r="O18" s="70"/>
      <c r="P18" s="70"/>
      <c r="Q18" s="19"/>
      <c r="R18" s="70"/>
      <c r="S18" s="70"/>
      <c r="T18" s="70"/>
      <c r="U18" s="70"/>
      <c r="V18" s="60"/>
      <c r="W18" s="60"/>
      <c r="X18" s="60"/>
      <c r="Y18" s="60"/>
      <c r="Z18" s="60"/>
      <c r="AA18" s="61"/>
      <c r="AB18" s="61"/>
    </row>
    <row r="19">
      <c r="E19" s="33" t="s">
        <v>40</v>
      </c>
      <c r="F19" s="1" t="s">
        <v>57</v>
      </c>
      <c r="H19" s="34"/>
      <c r="J19" s="13"/>
      <c r="K19" s="59"/>
      <c r="L19" s="59"/>
      <c r="M19" s="69"/>
      <c r="N19" s="60"/>
      <c r="O19" s="60"/>
      <c r="P19" s="60"/>
      <c r="Q19" s="13"/>
      <c r="R19" s="69"/>
      <c r="S19" s="69"/>
      <c r="T19" s="69"/>
      <c r="U19" s="69"/>
      <c r="V19" s="70"/>
      <c r="W19" s="70"/>
      <c r="X19" s="70"/>
      <c r="Y19" s="70"/>
      <c r="Z19" s="70"/>
      <c r="AA19" s="70"/>
      <c r="AB19" s="70"/>
    </row>
    <row r="20">
      <c r="E20" s="33" t="s">
        <v>58</v>
      </c>
      <c r="F20" s="1" t="s">
        <v>59</v>
      </c>
      <c r="H20" s="34"/>
      <c r="I20" s="72"/>
      <c r="J20" s="13"/>
      <c r="K20" s="73"/>
      <c r="L20" s="73"/>
      <c r="M20" s="70"/>
      <c r="N20" s="70"/>
      <c r="O20" s="70"/>
      <c r="P20" s="70"/>
      <c r="Q20" s="13"/>
      <c r="T20" s="20"/>
      <c r="U20" s="20"/>
      <c r="V20" s="20"/>
      <c r="W20" s="20"/>
      <c r="X20" s="13"/>
    </row>
    <row r="21">
      <c r="E21" s="33" t="s">
        <v>60</v>
      </c>
      <c r="F21" s="1" t="s">
        <v>61</v>
      </c>
      <c r="H21" s="34"/>
      <c r="I21" s="20"/>
      <c r="J21" s="13"/>
      <c r="K21" s="59"/>
      <c r="L21" s="59"/>
      <c r="M21" s="69"/>
      <c r="N21" s="69"/>
      <c r="O21" s="69"/>
      <c r="P21" s="69"/>
      <c r="Q21" s="13"/>
      <c r="T21" s="20"/>
      <c r="U21" s="20"/>
      <c r="V21" s="20"/>
      <c r="W21" s="20"/>
      <c r="X21" s="13"/>
    </row>
    <row r="22">
      <c r="E22" s="33" t="s">
        <v>44</v>
      </c>
      <c r="F22" s="1" t="s">
        <v>62</v>
      </c>
      <c r="H22" s="34"/>
      <c r="I22" s="20"/>
      <c r="J22" s="55"/>
      <c r="K22" s="55"/>
      <c r="L22" s="55"/>
      <c r="M22" s="55"/>
      <c r="N22" s="55"/>
      <c r="O22" s="55"/>
      <c r="P22" s="55"/>
      <c r="Q22" s="13"/>
      <c r="T22" s="20"/>
      <c r="U22" s="20"/>
      <c r="V22" s="20"/>
      <c r="W22" s="20"/>
      <c r="X22" s="13"/>
    </row>
    <row r="23">
      <c r="E23" s="33" t="s">
        <v>63</v>
      </c>
      <c r="F23" s="1" t="s">
        <v>64</v>
      </c>
      <c r="H23" s="34"/>
      <c r="K23" s="20"/>
      <c r="L23" s="20"/>
      <c r="M23" s="20"/>
      <c r="N23" s="20"/>
      <c r="O23" s="20"/>
      <c r="P23" s="20"/>
      <c r="Q23" s="20"/>
    </row>
    <row r="24">
      <c r="E24" s="33" t="s">
        <v>65</v>
      </c>
      <c r="F24" s="1" t="s">
        <v>66</v>
      </c>
      <c r="H24" s="34"/>
    </row>
    <row r="25">
      <c r="E25" s="33" t="s">
        <v>46</v>
      </c>
      <c r="F25" s="1" t="s">
        <v>67</v>
      </c>
      <c r="H25" s="34"/>
    </row>
    <row r="26">
      <c r="E26" s="35" t="s">
        <v>68</v>
      </c>
      <c r="F26" s="36" t="s">
        <v>69</v>
      </c>
      <c r="G26" s="8"/>
      <c r="H26" s="37"/>
    </row>
    <row r="29">
      <c r="A29" s="6"/>
      <c r="B29" s="11"/>
      <c r="C29" s="11"/>
      <c r="D29" s="11"/>
      <c r="E29" s="11"/>
      <c r="F29" s="11"/>
      <c r="G29" s="11"/>
      <c r="H29" s="11"/>
    </row>
    <row r="30">
      <c r="A30" s="12"/>
      <c r="B30" s="13"/>
      <c r="C30" s="13"/>
      <c r="D30" s="13"/>
      <c r="E30" s="13"/>
      <c r="F30" s="13"/>
      <c r="G30" s="13"/>
      <c r="H30" s="13"/>
    </row>
    <row r="31">
      <c r="A31" s="39"/>
      <c r="B31" s="20"/>
      <c r="C31" s="20"/>
      <c r="D31" s="20"/>
      <c r="E31" s="20"/>
      <c r="F31" s="20"/>
      <c r="G31" s="20"/>
      <c r="H31" s="20"/>
    </row>
    <row r="32">
      <c r="A32" s="13"/>
      <c r="B32" s="20"/>
      <c r="C32" s="20"/>
      <c r="D32" s="20"/>
      <c r="E32" s="20"/>
      <c r="F32" s="20"/>
      <c r="G32" s="20"/>
      <c r="H32" s="20"/>
    </row>
    <row r="33">
      <c r="A33" s="13"/>
      <c r="B33" s="20"/>
      <c r="C33" s="20"/>
      <c r="D33" s="20"/>
      <c r="E33" s="66"/>
      <c r="F33" s="66"/>
      <c r="G33" s="67"/>
      <c r="H33" s="67"/>
    </row>
    <row r="34">
      <c r="A34" s="13"/>
      <c r="B34" s="20"/>
      <c r="C34" s="20"/>
      <c r="D34" s="20"/>
      <c r="E34" s="20"/>
      <c r="F34" s="20"/>
      <c r="G34" s="20"/>
      <c r="H34" s="20"/>
    </row>
  </sheetData>
  <mergeCells count="14">
    <mergeCell ref="F20:H20"/>
    <mergeCell ref="F21:H21"/>
    <mergeCell ref="F22:H22"/>
    <mergeCell ref="F23:H23"/>
    <mergeCell ref="F24:H24"/>
    <mergeCell ref="F25:H25"/>
    <mergeCell ref="F26:H26"/>
    <mergeCell ref="B1:AC3"/>
    <mergeCell ref="E14:H14"/>
    <mergeCell ref="F15:H15"/>
    <mergeCell ref="F16:H16"/>
    <mergeCell ref="F17:H17"/>
    <mergeCell ref="F18:H18"/>
    <mergeCell ref="F19:H19"/>
  </mergeCells>
  <conditionalFormatting sqref="B9:H9 T20:W20">
    <cfRule type="cellIs" dxfId="0" priority="1" operator="equal">
      <formula>"X"</formula>
    </cfRule>
  </conditionalFormatting>
  <conditionalFormatting sqref="B9:H9 T20:W20">
    <cfRule type="cellIs" dxfId="1" priority="2" operator="equal">
      <formula>"D"</formula>
    </cfRule>
  </conditionalFormatting>
  <conditionalFormatting sqref="B9:H9 T20:W20">
    <cfRule type="cellIs" dxfId="2" priority="3" operator="equal">
      <formula>"N"</formula>
    </cfRule>
  </conditionalFormatting>
  <conditionalFormatting sqref="B9:H9 T20:W20">
    <cfRule type="cellIs" dxfId="3" priority="4" operator="equal">
      <formula>"OB"</formula>
    </cfRule>
  </conditionalFormatting>
  <conditionalFormatting sqref="B9:H9 T20:W20">
    <cfRule type="cellIs" dxfId="0" priority="5" operator="equal">
      <formula>"C"</formula>
    </cfRule>
  </conditionalFormatting>
  <conditionalFormatting sqref="B9:H9 T20:W20">
    <cfRule type="cellIs" dxfId="0" priority="6" operator="equal">
      <formula>"AL"</formula>
    </cfRule>
  </conditionalFormatting>
  <conditionalFormatting sqref="B9:H9 T20:W20">
    <cfRule type="cellIs" dxfId="4" priority="7" operator="equal">
      <formula>"UP"</formula>
    </cfRule>
  </conditionalFormatting>
  <conditionalFormatting sqref="B9:H9 T20:W20">
    <cfRule type="cellIs" dxfId="0" priority="8" operator="equal">
      <formula>"S"</formula>
    </cfRule>
  </conditionalFormatting>
  <conditionalFormatting sqref="B9:H9 T20:W20">
    <cfRule type="cellIs" dxfId="5" priority="9" operator="equal">
      <formula>"OC"</formula>
    </cfRule>
  </conditionalFormatting>
  <conditionalFormatting sqref="B9:H9 T20:W20">
    <cfRule type="cellIs" dxfId="6" priority="10" operator="equal">
      <formula>"SPV"</formula>
    </cfRule>
  </conditionalFormatting>
  <conditionalFormatting sqref="B9:H9 T20:W20">
    <cfRule type="cellIs" dxfId="7" priority="11" operator="equal">
      <formula>"INT"</formula>
    </cfRule>
  </conditionalFormatting>
  <conditionalFormatting sqref="B9:H9 T20:W20">
    <cfRule type="cellIs" dxfId="8" priority="12" operator="equal">
      <formula>"T"</formula>
    </cfRule>
  </conditionalFormatting>
  <conditionalFormatting sqref="B7:AF10 E15:E26 R16:AB19 K18:P23 I20:I22 T21:W22 J22 Q23 B31:H34 G36:J36">
    <cfRule type="cellIs" dxfId="0" priority="13" operator="equal">
      <formula>"X"</formula>
    </cfRule>
  </conditionalFormatting>
  <conditionalFormatting sqref="B7:AF10 E15:E26 R16:AB19 K18:P23 I20:I22 T21:W22 J22 Q23 B31:H34 G36:J36">
    <cfRule type="cellIs" dxfId="1" priority="14" operator="equal">
      <formula>"D"</formula>
    </cfRule>
  </conditionalFormatting>
  <conditionalFormatting sqref="B7:AF10 E15:E26 R16:AB19 K18:P23 I20:I22 T21:W22 J22 Q23 B31:H34 G36:J36">
    <cfRule type="cellIs" dxfId="2" priority="15" operator="equal">
      <formula>"N"</formula>
    </cfRule>
  </conditionalFormatting>
  <conditionalFormatting sqref="B7:AF10 E15:E26 R16:AB19 K18:P23 I20:I22 T21:W22 J22 Q23 B31:H34 G36:J36">
    <cfRule type="cellIs" dxfId="3" priority="16" operator="equal">
      <formula>"OB"</formula>
    </cfRule>
  </conditionalFormatting>
  <conditionalFormatting sqref="B7:AF10 E15:E26 R16:AB19 K18:P23 I20:I22 T21:W22 J22 Q23 B31:H34 G36:J36">
    <cfRule type="cellIs" dxfId="0" priority="17" operator="equal">
      <formula>"C"</formula>
    </cfRule>
  </conditionalFormatting>
  <conditionalFormatting sqref="B7:AF10 E15:E26 R16:AB19 K18:P23 I20:I22 T21:W22 J22 Q23 B31:H34 G36:J36">
    <cfRule type="cellIs" dxfId="0" priority="18" operator="equal">
      <formula>"AL"</formula>
    </cfRule>
  </conditionalFormatting>
  <conditionalFormatting sqref="B7:AF10 E15:E26 R16:AB19 K18:P23 I20:I22 T21:W22 J22 Q23 B31:H34 G36:J36">
    <cfRule type="cellIs" dxfId="4" priority="19" operator="equal">
      <formula>"UP"</formula>
    </cfRule>
  </conditionalFormatting>
  <conditionalFormatting sqref="B7:AF10 E15:E26 R16:AB19 K18:P23 I20:I22 T21:W22 J22 Q23 B31:H34 G36:J36">
    <cfRule type="cellIs" dxfId="0" priority="20" operator="equal">
      <formula>"S"</formula>
    </cfRule>
  </conditionalFormatting>
  <conditionalFormatting sqref="B7:AF10 E15:E26 R16:AB19 K18:P23 I20:I22 T21:W22 J22 Q23 B31:H34 G36:J36">
    <cfRule type="cellIs" dxfId="5" priority="21" operator="equal">
      <formula>"OC"</formula>
    </cfRule>
  </conditionalFormatting>
  <conditionalFormatting sqref="B7:AF10 E15:E26 R16:AB19 K18:P23 I20:I22 T21:W22 J22 Q23 B31:H34 G36:J36">
    <cfRule type="cellIs" dxfId="6" priority="22" operator="equal">
      <formula>"SPV"</formula>
    </cfRule>
  </conditionalFormatting>
  <conditionalFormatting sqref="B7:AF10 E15:E26 R16:AB19 K18:P23 I20:I22 T21:W22 J22 Q23 B31:H34 G36:J36">
    <cfRule type="cellIs" dxfId="7" priority="23" operator="equal">
      <formula>"INT"</formula>
    </cfRule>
  </conditionalFormatting>
  <conditionalFormatting sqref="B7:AF10 R16:AB19 K18:P22 T21:W22 J22">
    <cfRule type="cellIs" dxfId="8" priority="24" operator="equal">
      <formula>"T"</formula>
    </cfRule>
  </conditionalFormatting>
  <conditionalFormatting sqref="E25">
    <cfRule type="cellIs" dxfId="9" priority="25" operator="equal">
      <formula>"T"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5"/>
    <col customWidth="1" min="2" max="34" width="4.5"/>
    <col customWidth="1" min="35" max="35" width="6.88"/>
    <col customWidth="1" min="36" max="36" width="4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</row>
    <row r="2">
      <c r="B2" s="5"/>
      <c r="AD2" s="4"/>
      <c r="AE2" s="4"/>
      <c r="AF2" s="4"/>
      <c r="AG2" s="4"/>
      <c r="AH2" s="4"/>
      <c r="AI2" s="4"/>
      <c r="AJ2" s="4"/>
    </row>
    <row r="3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4"/>
      <c r="AE3" s="4"/>
      <c r="AF3" s="4"/>
      <c r="AG3" s="4"/>
      <c r="AH3" s="4"/>
      <c r="AI3" s="4"/>
      <c r="AJ3" s="4"/>
    </row>
    <row r="4">
      <c r="A4" s="6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2</v>
      </c>
      <c r="J4" s="9" t="s">
        <v>3</v>
      </c>
      <c r="K4" s="9" t="s">
        <v>4</v>
      </c>
      <c r="L4" s="9" t="s">
        <v>5</v>
      </c>
      <c r="M4" s="9" t="s">
        <v>6</v>
      </c>
      <c r="N4" s="9" t="s">
        <v>7</v>
      </c>
      <c r="O4" s="9" t="s">
        <v>8</v>
      </c>
      <c r="P4" s="9" t="s">
        <v>2</v>
      </c>
      <c r="Q4" s="9" t="s">
        <v>3</v>
      </c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2</v>
      </c>
      <c r="X4" s="9" t="s">
        <v>3</v>
      </c>
      <c r="Y4" s="9" t="s">
        <v>4</v>
      </c>
      <c r="Z4" s="9" t="s">
        <v>5</v>
      </c>
      <c r="AA4" s="9" t="s">
        <v>6</v>
      </c>
      <c r="AB4" s="9" t="s">
        <v>7</v>
      </c>
      <c r="AC4" s="9" t="s">
        <v>8</v>
      </c>
      <c r="AD4" s="11"/>
      <c r="AE4" s="11"/>
      <c r="AF4" s="11"/>
      <c r="AG4" s="11"/>
      <c r="AH4" s="11"/>
      <c r="AI4" s="11"/>
      <c r="AJ4" s="11"/>
    </row>
    <row r="5">
      <c r="A5" s="12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3" t="s">
        <v>14</v>
      </c>
      <c r="H5" s="13" t="s">
        <v>15</v>
      </c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21</v>
      </c>
      <c r="O5" s="13" t="s">
        <v>22</v>
      </c>
      <c r="P5" s="13" t="s">
        <v>23</v>
      </c>
      <c r="Q5" s="13" t="s">
        <v>24</v>
      </c>
      <c r="R5" s="13" t="s">
        <v>25</v>
      </c>
      <c r="S5" s="13" t="s">
        <v>26</v>
      </c>
      <c r="T5" s="13" t="s">
        <v>27</v>
      </c>
      <c r="U5" s="13" t="s">
        <v>28</v>
      </c>
      <c r="V5" s="13" t="s">
        <v>29</v>
      </c>
      <c r="W5" s="13" t="s">
        <v>30</v>
      </c>
      <c r="X5" s="13" t="s">
        <v>31</v>
      </c>
      <c r="Y5" s="13" t="s">
        <v>32</v>
      </c>
      <c r="Z5" s="13" t="s">
        <v>33</v>
      </c>
      <c r="AA5" s="13" t="s">
        <v>34</v>
      </c>
      <c r="AB5" s="13" t="s">
        <v>35</v>
      </c>
      <c r="AC5" s="13" t="s">
        <v>36</v>
      </c>
      <c r="AD5" s="13"/>
      <c r="AE5" s="13"/>
      <c r="AF5" s="13"/>
      <c r="AG5" s="13"/>
      <c r="AH5" s="13"/>
      <c r="AI5" s="13"/>
      <c r="AJ5" s="13"/>
    </row>
    <row r="6">
      <c r="A6" s="12"/>
      <c r="AE6" s="14" t="s">
        <v>38</v>
      </c>
      <c r="AF6" s="15" t="s">
        <v>39</v>
      </c>
      <c r="AG6" s="16" t="s">
        <v>40</v>
      </c>
      <c r="AH6" s="17" t="s">
        <v>41</v>
      </c>
      <c r="AI6" s="18" t="s">
        <v>42</v>
      </c>
    </row>
    <row r="7">
      <c r="A7" s="19" t="s">
        <v>43</v>
      </c>
      <c r="B7" s="20" t="s">
        <v>44</v>
      </c>
      <c r="C7" s="20" t="s">
        <v>44</v>
      </c>
      <c r="D7" s="20" t="s">
        <v>44</v>
      </c>
      <c r="E7" s="20" t="s">
        <v>44</v>
      </c>
      <c r="F7" s="20" t="s">
        <v>44</v>
      </c>
      <c r="G7" s="20" t="s">
        <v>44</v>
      </c>
      <c r="H7" s="20" t="s">
        <v>44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68</v>
      </c>
      <c r="O7" s="20" t="s">
        <v>68</v>
      </c>
      <c r="P7" s="21" t="s">
        <v>40</v>
      </c>
      <c r="Q7" s="21" t="s">
        <v>39</v>
      </c>
      <c r="R7" s="21" t="s">
        <v>39</v>
      </c>
      <c r="S7" s="21" t="s">
        <v>39</v>
      </c>
      <c r="T7" s="21" t="s">
        <v>40</v>
      </c>
      <c r="U7" s="21" t="s">
        <v>40</v>
      </c>
      <c r="V7" s="21" t="s">
        <v>38</v>
      </c>
      <c r="W7" s="21" t="s">
        <v>38</v>
      </c>
      <c r="X7" s="21" t="s">
        <v>40</v>
      </c>
      <c r="Y7" s="21" t="s">
        <v>40</v>
      </c>
      <c r="Z7" s="21" t="s">
        <v>39</v>
      </c>
      <c r="AA7" s="21" t="s">
        <v>39</v>
      </c>
      <c r="AB7" s="21" t="s">
        <v>40</v>
      </c>
      <c r="AC7" s="21" t="s">
        <v>40</v>
      </c>
      <c r="AE7" s="22">
        <f t="shared" ref="AE7:AE11" si="1">COUNTIF(B7:AC7,"D")</f>
        <v>2</v>
      </c>
      <c r="AF7" s="22">
        <f t="shared" ref="AF7:AF11" si="2">COUNTIF(B7:AC7,"N")</f>
        <v>5</v>
      </c>
      <c r="AG7" s="22">
        <f t="shared" ref="AG7:AG11" si="3">COUNTIF(B7:AC7,"X")</f>
        <v>7</v>
      </c>
      <c r="AH7" s="22">
        <f t="shared" ref="AH7:AH11" si="4">COUNTIF(B7:AC7,"INT")</f>
        <v>5</v>
      </c>
      <c r="AI7" s="22">
        <f t="shared" ref="AI7:AI11" si="5">SUM(AE7+AF7+AH7)</f>
        <v>12</v>
      </c>
    </row>
    <row r="8">
      <c r="A8" s="13" t="s">
        <v>168</v>
      </c>
      <c r="B8" s="20" t="s">
        <v>40</v>
      </c>
      <c r="C8" s="20" t="s">
        <v>39</v>
      </c>
      <c r="D8" s="20" t="s">
        <v>39</v>
      </c>
      <c r="E8" s="20" t="s">
        <v>40</v>
      </c>
      <c r="F8" s="20" t="s">
        <v>38</v>
      </c>
      <c r="G8" s="20" t="s">
        <v>38</v>
      </c>
      <c r="H8" s="20" t="s">
        <v>38</v>
      </c>
      <c r="I8" s="20" t="s">
        <v>44</v>
      </c>
      <c r="J8" s="20" t="s">
        <v>44</v>
      </c>
      <c r="K8" s="20" t="s">
        <v>44</v>
      </c>
      <c r="L8" s="20" t="s">
        <v>44</v>
      </c>
      <c r="M8" s="20" t="s">
        <v>44</v>
      </c>
      <c r="N8" s="20" t="s">
        <v>44</v>
      </c>
      <c r="O8" s="20" t="s">
        <v>44</v>
      </c>
      <c r="P8" s="20" t="s">
        <v>41</v>
      </c>
      <c r="Q8" s="20" t="s">
        <v>41</v>
      </c>
      <c r="R8" s="20" t="s">
        <v>41</v>
      </c>
      <c r="S8" s="20" t="s">
        <v>41</v>
      </c>
      <c r="T8" s="20" t="s">
        <v>41</v>
      </c>
      <c r="U8" s="20" t="s">
        <v>68</v>
      </c>
      <c r="V8" s="20" t="s">
        <v>68</v>
      </c>
      <c r="W8" s="21" t="s">
        <v>40</v>
      </c>
      <c r="X8" s="21" t="s">
        <v>39</v>
      </c>
      <c r="Y8" s="21" t="s">
        <v>39</v>
      </c>
      <c r="Z8" s="21" t="s">
        <v>40</v>
      </c>
      <c r="AA8" s="21" t="s">
        <v>40</v>
      </c>
      <c r="AB8" s="21" t="s">
        <v>38</v>
      </c>
      <c r="AC8" s="21" t="s">
        <v>38</v>
      </c>
      <c r="AE8" s="22">
        <f t="shared" si="1"/>
        <v>5</v>
      </c>
      <c r="AF8" s="22">
        <f t="shared" si="2"/>
        <v>4</v>
      </c>
      <c r="AG8" s="22">
        <f t="shared" si="3"/>
        <v>5</v>
      </c>
      <c r="AH8" s="22">
        <f t="shared" si="4"/>
        <v>5</v>
      </c>
      <c r="AI8" s="22">
        <f t="shared" si="5"/>
        <v>14</v>
      </c>
    </row>
    <row r="9">
      <c r="A9" s="13" t="s">
        <v>45</v>
      </c>
      <c r="B9" s="20" t="s">
        <v>39</v>
      </c>
      <c r="C9" s="20" t="s">
        <v>40</v>
      </c>
      <c r="D9" s="20" t="s">
        <v>38</v>
      </c>
      <c r="E9" s="20" t="s">
        <v>38</v>
      </c>
      <c r="F9" s="20" t="s">
        <v>40</v>
      </c>
      <c r="G9" s="20" t="s">
        <v>39</v>
      </c>
      <c r="H9" s="20" t="s">
        <v>39</v>
      </c>
      <c r="I9" s="20" t="s">
        <v>40</v>
      </c>
      <c r="J9" s="20" t="s">
        <v>40</v>
      </c>
      <c r="K9" s="20" t="s">
        <v>38</v>
      </c>
      <c r="L9" s="20" t="s">
        <v>38</v>
      </c>
      <c r="M9" s="20" t="s">
        <v>38</v>
      </c>
      <c r="N9" s="20" t="s">
        <v>40</v>
      </c>
      <c r="O9" s="20" t="s">
        <v>39</v>
      </c>
      <c r="P9" s="20" t="s">
        <v>39</v>
      </c>
      <c r="Q9" s="20" t="s">
        <v>40</v>
      </c>
      <c r="R9" s="20" t="s">
        <v>40</v>
      </c>
      <c r="S9" s="20" t="s">
        <v>40</v>
      </c>
      <c r="T9" s="20" t="s">
        <v>38</v>
      </c>
      <c r="U9" s="20" t="s">
        <v>38</v>
      </c>
      <c r="V9" s="20" t="s">
        <v>40</v>
      </c>
      <c r="W9" s="20" t="s">
        <v>41</v>
      </c>
      <c r="X9" s="20" t="s">
        <v>41</v>
      </c>
      <c r="Y9" s="20" t="s">
        <v>41</v>
      </c>
      <c r="Z9" s="20" t="s">
        <v>41</v>
      </c>
      <c r="AA9" s="20" t="s">
        <v>41</v>
      </c>
      <c r="AB9" s="20" t="s">
        <v>68</v>
      </c>
      <c r="AC9" s="20" t="s">
        <v>68</v>
      </c>
      <c r="AE9" s="22">
        <f t="shared" si="1"/>
        <v>7</v>
      </c>
      <c r="AF9" s="22">
        <f t="shared" si="2"/>
        <v>5</v>
      </c>
      <c r="AG9" s="22">
        <f t="shared" si="3"/>
        <v>9</v>
      </c>
      <c r="AH9" s="22">
        <f t="shared" si="4"/>
        <v>5</v>
      </c>
      <c r="AI9" s="22">
        <f t="shared" si="5"/>
        <v>17</v>
      </c>
    </row>
    <row r="10">
      <c r="A10" s="13" t="s">
        <v>47</v>
      </c>
      <c r="B10" s="20" t="s">
        <v>38</v>
      </c>
      <c r="C10" s="20" t="s">
        <v>38</v>
      </c>
      <c r="D10" s="20" t="s">
        <v>40</v>
      </c>
      <c r="E10" s="20" t="s">
        <v>39</v>
      </c>
      <c r="F10" s="20" t="s">
        <v>39</v>
      </c>
      <c r="G10" s="20" t="s">
        <v>40</v>
      </c>
      <c r="H10" s="20" t="s">
        <v>40</v>
      </c>
      <c r="I10" s="20" t="s">
        <v>38</v>
      </c>
      <c r="J10" s="20" t="s">
        <v>38</v>
      </c>
      <c r="K10" s="20" t="s">
        <v>40</v>
      </c>
      <c r="L10" s="20" t="s">
        <v>39</v>
      </c>
      <c r="M10" s="20" t="s">
        <v>39</v>
      </c>
      <c r="N10" s="20" t="s">
        <v>39</v>
      </c>
      <c r="O10" s="20" t="s">
        <v>40</v>
      </c>
      <c r="P10" s="20" t="s">
        <v>40</v>
      </c>
      <c r="Q10" s="20" t="s">
        <v>38</v>
      </c>
      <c r="R10" s="20" t="s">
        <v>38</v>
      </c>
      <c r="S10" s="20" t="s">
        <v>38</v>
      </c>
      <c r="T10" s="20" t="s">
        <v>40</v>
      </c>
      <c r="U10" s="20" t="s">
        <v>40</v>
      </c>
      <c r="V10" s="20" t="s">
        <v>39</v>
      </c>
      <c r="W10" s="21" t="s">
        <v>39</v>
      </c>
      <c r="X10" s="21" t="s">
        <v>40</v>
      </c>
      <c r="Y10" s="21" t="s">
        <v>40</v>
      </c>
      <c r="Z10" s="21" t="s">
        <v>38</v>
      </c>
      <c r="AA10" s="21" t="s">
        <v>38</v>
      </c>
      <c r="AB10" s="21" t="s">
        <v>40</v>
      </c>
      <c r="AC10" s="21" t="s">
        <v>40</v>
      </c>
      <c r="AE10" s="22">
        <f t="shared" si="1"/>
        <v>9</v>
      </c>
      <c r="AF10" s="22">
        <f t="shared" si="2"/>
        <v>7</v>
      </c>
      <c r="AG10" s="22">
        <f t="shared" si="3"/>
        <v>12</v>
      </c>
      <c r="AH10" s="22">
        <f t="shared" si="4"/>
        <v>0</v>
      </c>
      <c r="AI10" s="22">
        <f t="shared" si="5"/>
        <v>16</v>
      </c>
    </row>
    <row r="11">
      <c r="A11" s="13" t="s">
        <v>48</v>
      </c>
      <c r="B11" s="20" t="s">
        <v>41</v>
      </c>
      <c r="C11" s="20" t="s">
        <v>41</v>
      </c>
      <c r="D11" s="20" t="s">
        <v>41</v>
      </c>
      <c r="E11" s="20" t="s">
        <v>41</v>
      </c>
      <c r="F11" s="20" t="s">
        <v>41</v>
      </c>
      <c r="G11" s="20" t="s">
        <v>68</v>
      </c>
      <c r="H11" s="20" t="s">
        <v>68</v>
      </c>
      <c r="I11" s="20" t="s">
        <v>39</v>
      </c>
      <c r="J11" s="20" t="s">
        <v>39</v>
      </c>
      <c r="K11" s="20" t="s">
        <v>39</v>
      </c>
      <c r="L11" s="20" t="s">
        <v>40</v>
      </c>
      <c r="M11" s="20" t="s">
        <v>40</v>
      </c>
      <c r="N11" s="20" t="s">
        <v>38</v>
      </c>
      <c r="O11" s="20" t="s">
        <v>38</v>
      </c>
      <c r="P11" s="20" t="s">
        <v>38</v>
      </c>
      <c r="Q11" s="20" t="s">
        <v>40</v>
      </c>
      <c r="R11" s="20" t="s">
        <v>40</v>
      </c>
      <c r="S11" s="20" t="s">
        <v>40</v>
      </c>
      <c r="T11" s="20" t="s">
        <v>39</v>
      </c>
      <c r="U11" s="20" t="s">
        <v>39</v>
      </c>
      <c r="V11" s="20" t="s">
        <v>40</v>
      </c>
      <c r="W11" s="21" t="s">
        <v>40</v>
      </c>
      <c r="X11" s="21" t="s">
        <v>38</v>
      </c>
      <c r="Y11" s="21" t="s">
        <v>38</v>
      </c>
      <c r="Z11" s="21" t="s">
        <v>40</v>
      </c>
      <c r="AA11" s="21" t="s">
        <v>40</v>
      </c>
      <c r="AB11" s="21" t="s">
        <v>39</v>
      </c>
      <c r="AC11" s="21" t="s">
        <v>39</v>
      </c>
      <c r="AE11" s="22">
        <f t="shared" si="1"/>
        <v>5</v>
      </c>
      <c r="AF11" s="22">
        <f t="shared" si="2"/>
        <v>7</v>
      </c>
      <c r="AG11" s="22">
        <f t="shared" si="3"/>
        <v>9</v>
      </c>
      <c r="AH11" s="22">
        <f t="shared" si="4"/>
        <v>5</v>
      </c>
      <c r="AI11" s="22">
        <f t="shared" si="5"/>
        <v>17</v>
      </c>
    </row>
    <row r="1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3" t="s">
        <v>49</v>
      </c>
      <c r="B13" s="24">
        <f t="shared" ref="B13:AC13" si="6">COUNTIF(B7:B11,"D")</f>
        <v>1</v>
      </c>
      <c r="C13" s="24">
        <f t="shared" si="6"/>
        <v>1</v>
      </c>
      <c r="D13" s="24">
        <f t="shared" si="6"/>
        <v>1</v>
      </c>
      <c r="E13" s="24">
        <f t="shared" si="6"/>
        <v>1</v>
      </c>
      <c r="F13" s="24">
        <f t="shared" si="6"/>
        <v>1</v>
      </c>
      <c r="G13" s="24">
        <f t="shared" si="6"/>
        <v>1</v>
      </c>
      <c r="H13" s="24">
        <f t="shared" si="6"/>
        <v>1</v>
      </c>
      <c r="I13" s="24">
        <f t="shared" si="6"/>
        <v>1</v>
      </c>
      <c r="J13" s="24">
        <f t="shared" si="6"/>
        <v>1</v>
      </c>
      <c r="K13" s="24">
        <f t="shared" si="6"/>
        <v>1</v>
      </c>
      <c r="L13" s="24">
        <f t="shared" si="6"/>
        <v>1</v>
      </c>
      <c r="M13" s="24">
        <f t="shared" si="6"/>
        <v>1</v>
      </c>
      <c r="N13" s="24">
        <f t="shared" si="6"/>
        <v>1</v>
      </c>
      <c r="O13" s="24">
        <f t="shared" si="6"/>
        <v>1</v>
      </c>
      <c r="P13" s="24">
        <f t="shared" si="6"/>
        <v>1</v>
      </c>
      <c r="Q13" s="24">
        <f t="shared" si="6"/>
        <v>1</v>
      </c>
      <c r="R13" s="24">
        <f t="shared" si="6"/>
        <v>1</v>
      </c>
      <c r="S13" s="24">
        <f t="shared" si="6"/>
        <v>1</v>
      </c>
      <c r="T13" s="24">
        <f t="shared" si="6"/>
        <v>1</v>
      </c>
      <c r="U13" s="24">
        <f t="shared" si="6"/>
        <v>1</v>
      </c>
      <c r="V13" s="24">
        <f t="shared" si="6"/>
        <v>1</v>
      </c>
      <c r="W13" s="24">
        <f t="shared" si="6"/>
        <v>1</v>
      </c>
      <c r="X13" s="24">
        <f t="shared" si="6"/>
        <v>1</v>
      </c>
      <c r="Y13" s="24">
        <f t="shared" si="6"/>
        <v>1</v>
      </c>
      <c r="Z13" s="24">
        <f t="shared" si="6"/>
        <v>1</v>
      </c>
      <c r="AA13" s="24">
        <f t="shared" si="6"/>
        <v>1</v>
      </c>
      <c r="AB13" s="24">
        <f t="shared" si="6"/>
        <v>1</v>
      </c>
      <c r="AC13" s="24">
        <f t="shared" si="6"/>
        <v>1</v>
      </c>
    </row>
    <row r="14">
      <c r="A14" s="26" t="s">
        <v>50</v>
      </c>
      <c r="B14" s="27">
        <f t="shared" ref="B14:AC14" si="7">COUNTIF(B7:B11,"N")</f>
        <v>1</v>
      </c>
      <c r="C14" s="27">
        <f t="shared" si="7"/>
        <v>1</v>
      </c>
      <c r="D14" s="27">
        <f t="shared" si="7"/>
        <v>1</v>
      </c>
      <c r="E14" s="27">
        <f t="shared" si="7"/>
        <v>1</v>
      </c>
      <c r="F14" s="27">
        <f t="shared" si="7"/>
        <v>1</v>
      </c>
      <c r="G14" s="27">
        <f t="shared" si="7"/>
        <v>1</v>
      </c>
      <c r="H14" s="27">
        <f t="shared" si="7"/>
        <v>1</v>
      </c>
      <c r="I14" s="27">
        <f t="shared" si="7"/>
        <v>1</v>
      </c>
      <c r="J14" s="27">
        <f t="shared" si="7"/>
        <v>1</v>
      </c>
      <c r="K14" s="27">
        <f t="shared" si="7"/>
        <v>1</v>
      </c>
      <c r="L14" s="27">
        <f t="shared" si="7"/>
        <v>1</v>
      </c>
      <c r="M14" s="27">
        <f t="shared" si="7"/>
        <v>1</v>
      </c>
      <c r="N14" s="27">
        <f t="shared" si="7"/>
        <v>1</v>
      </c>
      <c r="O14" s="27">
        <f t="shared" si="7"/>
        <v>1</v>
      </c>
      <c r="P14" s="27">
        <f t="shared" si="7"/>
        <v>1</v>
      </c>
      <c r="Q14" s="27">
        <f t="shared" si="7"/>
        <v>1</v>
      </c>
      <c r="R14" s="27">
        <f t="shared" si="7"/>
        <v>1</v>
      </c>
      <c r="S14" s="27">
        <f t="shared" si="7"/>
        <v>1</v>
      </c>
      <c r="T14" s="27">
        <f t="shared" si="7"/>
        <v>1</v>
      </c>
      <c r="U14" s="27">
        <f t="shared" si="7"/>
        <v>1</v>
      </c>
      <c r="V14" s="27">
        <f t="shared" si="7"/>
        <v>1</v>
      </c>
      <c r="W14" s="27">
        <f t="shared" si="7"/>
        <v>1</v>
      </c>
      <c r="X14" s="27">
        <f t="shared" si="7"/>
        <v>1</v>
      </c>
      <c r="Y14" s="27">
        <f t="shared" si="7"/>
        <v>1</v>
      </c>
      <c r="Z14" s="27">
        <f t="shared" si="7"/>
        <v>1</v>
      </c>
      <c r="AA14" s="27">
        <f t="shared" si="7"/>
        <v>1</v>
      </c>
      <c r="AB14" s="27">
        <f t="shared" si="7"/>
        <v>1</v>
      </c>
      <c r="AC14" s="27">
        <f t="shared" si="7"/>
        <v>1</v>
      </c>
    </row>
    <row r="15">
      <c r="I15" s="28"/>
      <c r="J15" s="28"/>
      <c r="K15" s="28"/>
      <c r="L15" s="28"/>
      <c r="M15" s="28"/>
      <c r="N15" s="28"/>
      <c r="O15" s="28"/>
    </row>
    <row r="16">
      <c r="E16" s="29" t="s">
        <v>51</v>
      </c>
      <c r="F16" s="30"/>
      <c r="G16" s="30"/>
      <c r="H16" s="31"/>
      <c r="I16" s="32"/>
      <c r="J16" s="28"/>
      <c r="K16" s="28"/>
      <c r="L16" s="28"/>
      <c r="M16" s="28"/>
      <c r="N16" s="28"/>
      <c r="O16" s="28"/>
    </row>
    <row r="17">
      <c r="E17" s="114" t="s">
        <v>38</v>
      </c>
      <c r="F17" s="1" t="s">
        <v>52</v>
      </c>
      <c r="H17" s="34"/>
      <c r="I17" s="28"/>
      <c r="J17" s="28"/>
      <c r="K17" s="28"/>
      <c r="L17" s="28"/>
      <c r="M17" s="28"/>
      <c r="N17" s="28"/>
      <c r="O17" s="28"/>
    </row>
    <row r="18">
      <c r="E18" s="114" t="s">
        <v>39</v>
      </c>
      <c r="F18" s="1" t="s">
        <v>53</v>
      </c>
      <c r="H18" s="34"/>
    </row>
    <row r="19">
      <c r="E19" s="114" t="s">
        <v>41</v>
      </c>
      <c r="F19" s="1" t="s">
        <v>54</v>
      </c>
      <c r="H19" s="34"/>
    </row>
    <row r="20">
      <c r="E20" s="114" t="s">
        <v>55</v>
      </c>
      <c r="F20" s="1" t="s">
        <v>56</v>
      </c>
      <c r="H20" s="34"/>
    </row>
    <row r="21">
      <c r="E21" s="114" t="s">
        <v>40</v>
      </c>
      <c r="F21" s="1" t="s">
        <v>57</v>
      </c>
      <c r="H21" s="34"/>
    </row>
    <row r="22">
      <c r="E22" s="114" t="s">
        <v>58</v>
      </c>
      <c r="F22" s="1" t="s">
        <v>59</v>
      </c>
      <c r="H22" s="34"/>
      <c r="I22" s="20"/>
      <c r="J22" s="20"/>
      <c r="K22" s="20"/>
      <c r="L22" s="20"/>
      <c r="M22" s="20"/>
      <c r="N22" s="20"/>
      <c r="O22" s="20"/>
    </row>
    <row r="23">
      <c r="E23" s="114" t="s">
        <v>60</v>
      </c>
      <c r="F23" s="1" t="s">
        <v>61</v>
      </c>
      <c r="H23" s="34"/>
      <c r="I23" s="20"/>
      <c r="J23" s="20"/>
      <c r="K23" s="20"/>
      <c r="L23" s="20"/>
      <c r="M23" s="20"/>
      <c r="N23" s="20"/>
      <c r="O23" s="20"/>
    </row>
    <row r="24">
      <c r="E24" s="114" t="s">
        <v>44</v>
      </c>
      <c r="F24" s="1" t="s">
        <v>62</v>
      </c>
      <c r="H24" s="34"/>
      <c r="I24" s="20"/>
      <c r="J24" s="20"/>
      <c r="K24" s="20"/>
      <c r="L24" s="20"/>
      <c r="M24" s="20"/>
      <c r="N24" s="20"/>
      <c r="O24" s="20"/>
    </row>
    <row r="25">
      <c r="E25" s="114" t="s">
        <v>63</v>
      </c>
      <c r="F25" s="1" t="s">
        <v>64</v>
      </c>
      <c r="H25" s="34"/>
    </row>
    <row r="26">
      <c r="E26" s="114" t="s">
        <v>65</v>
      </c>
      <c r="F26" s="1" t="s">
        <v>66</v>
      </c>
      <c r="H26" s="34"/>
    </row>
    <row r="27">
      <c r="E27" s="115" t="s">
        <v>68</v>
      </c>
      <c r="F27" s="36" t="s">
        <v>69</v>
      </c>
      <c r="G27" s="8"/>
      <c r="H27" s="37"/>
    </row>
    <row r="30">
      <c r="A30" s="6"/>
      <c r="B30" s="38" t="s">
        <v>2</v>
      </c>
      <c r="C30" s="9" t="s">
        <v>3</v>
      </c>
      <c r="D30" s="9" t="s">
        <v>4</v>
      </c>
      <c r="E30" s="9" t="s">
        <v>5</v>
      </c>
      <c r="F30" s="9" t="s">
        <v>6</v>
      </c>
      <c r="G30" s="9" t="s">
        <v>7</v>
      </c>
      <c r="H30" s="9" t="s">
        <v>8</v>
      </c>
    </row>
    <row r="31">
      <c r="A31" s="12"/>
      <c r="B31" s="13" t="s">
        <v>33</v>
      </c>
      <c r="C31" s="13" t="s">
        <v>34</v>
      </c>
      <c r="D31" s="13" t="s">
        <v>35</v>
      </c>
      <c r="E31" s="13" t="s">
        <v>36</v>
      </c>
      <c r="F31" s="13" t="s">
        <v>37</v>
      </c>
      <c r="G31" s="13" t="s">
        <v>70</v>
      </c>
      <c r="H31" s="13" t="s">
        <v>71</v>
      </c>
    </row>
    <row r="32">
      <c r="A32" s="12"/>
      <c r="B32" s="1"/>
      <c r="C32" s="1"/>
    </row>
    <row r="33">
      <c r="A33" s="39" t="s">
        <v>43</v>
      </c>
      <c r="B33" s="20" t="s">
        <v>38</v>
      </c>
      <c r="C33" s="20" t="s">
        <v>38</v>
      </c>
      <c r="D33" s="20" t="s">
        <v>38</v>
      </c>
      <c r="E33" s="20" t="s">
        <v>40</v>
      </c>
      <c r="F33" s="20" t="s">
        <v>40</v>
      </c>
      <c r="G33" s="20" t="s">
        <v>38</v>
      </c>
      <c r="H33" s="20" t="s">
        <v>38</v>
      </c>
    </row>
    <row r="34">
      <c r="A34" s="13" t="s">
        <v>168</v>
      </c>
      <c r="B34" s="20" t="s">
        <v>58</v>
      </c>
      <c r="C34" s="20" t="s">
        <v>58</v>
      </c>
      <c r="D34" s="20" t="s">
        <v>58</v>
      </c>
      <c r="E34" s="20"/>
      <c r="F34" s="20"/>
      <c r="G34" s="20"/>
      <c r="H34" s="20"/>
    </row>
    <row r="35">
      <c r="A35" s="13" t="s">
        <v>45</v>
      </c>
      <c r="B35" s="20" t="s">
        <v>58</v>
      </c>
      <c r="C35" s="20" t="s">
        <v>58</v>
      </c>
      <c r="D35" s="20" t="s">
        <v>58</v>
      </c>
      <c r="E35" s="20" t="s">
        <v>39</v>
      </c>
      <c r="F35" s="20" t="s">
        <v>39</v>
      </c>
      <c r="G35" s="20" t="s">
        <v>40</v>
      </c>
      <c r="H35" s="20" t="s">
        <v>40</v>
      </c>
    </row>
    <row r="36">
      <c r="A36" s="13" t="s">
        <v>47</v>
      </c>
      <c r="B36" s="20" t="s">
        <v>58</v>
      </c>
      <c r="C36" s="20" t="s">
        <v>58</v>
      </c>
      <c r="D36" s="20" t="s">
        <v>58</v>
      </c>
      <c r="E36" s="40" t="s">
        <v>38</v>
      </c>
      <c r="F36" s="40" t="s">
        <v>38</v>
      </c>
      <c r="G36" s="41" t="s">
        <v>40</v>
      </c>
      <c r="H36" s="41" t="s">
        <v>40</v>
      </c>
    </row>
    <row r="37">
      <c r="A37" s="13" t="s">
        <v>48</v>
      </c>
      <c r="B37" s="20" t="s">
        <v>58</v>
      </c>
      <c r="C37" s="20" t="s">
        <v>58</v>
      </c>
      <c r="D37" s="20" t="s">
        <v>58</v>
      </c>
      <c r="E37" s="20" t="s">
        <v>40</v>
      </c>
      <c r="F37" s="20" t="s">
        <v>40</v>
      </c>
      <c r="G37" s="20" t="s">
        <v>39</v>
      </c>
      <c r="H37" s="20" t="s">
        <v>39</v>
      </c>
    </row>
  </sheetData>
  <mergeCells count="13">
    <mergeCell ref="F22:H22"/>
    <mergeCell ref="F23:H23"/>
    <mergeCell ref="F24:H24"/>
    <mergeCell ref="F25:H25"/>
    <mergeCell ref="F26:H26"/>
    <mergeCell ref="F27:H27"/>
    <mergeCell ref="B1:AC3"/>
    <mergeCell ref="E16:H16"/>
    <mergeCell ref="F17:H17"/>
    <mergeCell ref="F18:H18"/>
    <mergeCell ref="F19:H19"/>
    <mergeCell ref="F20:H20"/>
    <mergeCell ref="F21:H21"/>
  </mergeCells>
  <conditionalFormatting sqref="B7:AC11 E17:E27 I22:O24 B33:H37 G39:J39">
    <cfRule type="cellIs" dxfId="0" priority="1" operator="equal">
      <formula>"X"</formula>
    </cfRule>
  </conditionalFormatting>
  <conditionalFormatting sqref="B7:AC11 E17:E27 I22:O24 B33:H37 G39:J39">
    <cfRule type="cellIs" dxfId="1" priority="2" operator="equal">
      <formula>"D"</formula>
    </cfRule>
  </conditionalFormatting>
  <conditionalFormatting sqref="B7:AC11 E17:E27 I22:O24 B33:H37 G39:J39">
    <cfRule type="cellIs" dxfId="2" priority="3" operator="equal">
      <formula>"N"</formula>
    </cfRule>
  </conditionalFormatting>
  <conditionalFormatting sqref="B7:AC11 E17:E27 I22:O24 B33:H37 G39:J39">
    <cfRule type="cellIs" dxfId="3" priority="4" operator="equal">
      <formula>"OB"</formula>
    </cfRule>
  </conditionalFormatting>
  <conditionalFormatting sqref="B7:AC11 E17:E27 I22:O24 B33:H37 G39:J39">
    <cfRule type="cellIs" dxfId="0" priority="5" operator="equal">
      <formula>"C"</formula>
    </cfRule>
  </conditionalFormatting>
  <conditionalFormatting sqref="B7:AC11 E17:E27 I22:O24 B33:H37 G39:J39">
    <cfRule type="cellIs" dxfId="0" priority="6" operator="equal">
      <formula>"AL"</formula>
    </cfRule>
  </conditionalFormatting>
  <conditionalFormatting sqref="B7:AC11 E17:E27 I22:O24 B33:H37 G39:J39">
    <cfRule type="cellIs" dxfId="4" priority="7" operator="equal">
      <formula>"UP"</formula>
    </cfRule>
  </conditionalFormatting>
  <conditionalFormatting sqref="B7:AC11 E17:E27 I22:O24 B33:H37 G39:J39">
    <cfRule type="cellIs" dxfId="0" priority="8" operator="equal">
      <formula>"S"</formula>
    </cfRule>
  </conditionalFormatting>
  <conditionalFormatting sqref="B7:AC11 E17:E27 I22:O24 B33:H37 G39:J39">
    <cfRule type="cellIs" dxfId="5" priority="9" operator="equal">
      <formula>"OC"</formula>
    </cfRule>
  </conditionalFormatting>
  <conditionalFormatting sqref="B7:AC11 E17:E27 I22:O24 B33:H37 G39:J39">
    <cfRule type="cellIs" dxfId="6" priority="10" operator="equal">
      <formula>"SPV"</formula>
    </cfRule>
  </conditionalFormatting>
  <conditionalFormatting sqref="B7:AC11 E17:E27 I22:O24 B33:H37 G39:J39">
    <cfRule type="cellIs" dxfId="7" priority="11" operator="equal">
      <formula>"INT"</formula>
    </cfRule>
  </conditionalFormatting>
  <drawing r:id="rId1"/>
</worksheet>
</file>